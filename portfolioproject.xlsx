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idenliu/Desktop/portfolio.excel.folder/"/>
    </mc:Choice>
  </mc:AlternateContent>
  <xr:revisionPtr revIDLastSave="0" documentId="13_ncr:1_{D6F122CF-9A53-F741-93FC-EAD35C1F7520}" xr6:coauthVersionLast="47" xr6:coauthVersionMax="47" xr10:uidLastSave="{00000000-0000-0000-0000-000000000000}"/>
  <bookViews>
    <workbookView xWindow="0" yWindow="500" windowWidth="33600" windowHeight="19220" activeTab="6" xr2:uid="{00000000-000D-0000-FFFF-FFFF00000000}"/>
  </bookViews>
  <sheets>
    <sheet name="AdjPrice" sheetId="1" r:id="rId1"/>
    <sheet name="Weights" sheetId="2" r:id="rId2"/>
    <sheet name="Calc" sheetId="3" r:id="rId3"/>
    <sheet name="Metrics" sheetId="4" r:id="rId4"/>
    <sheet name="Attribution" sheetId="5" r:id="rId5"/>
    <sheet name="Checks" sheetId="6" r:id="rId6"/>
    <sheet name="Dashboar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4" l="1"/>
  <c r="C19" i="4"/>
  <c r="C27" i="4"/>
  <c r="C26" i="4"/>
  <c r="C25" i="4"/>
  <c r="C24" i="4"/>
  <c r="C23" i="4"/>
  <c r="C22" i="4"/>
  <c r="C21" i="4"/>
  <c r="B25" i="4"/>
  <c r="B24" i="4"/>
  <c r="B23" i="4"/>
  <c r="B22" i="4"/>
  <c r="B21" i="4"/>
  <c r="C20" i="4"/>
  <c r="B20" i="4"/>
  <c r="B4" i="5"/>
  <c r="C4" i="5"/>
  <c r="D4" i="5"/>
  <c r="D13" i="5" s="1"/>
  <c r="E4" i="5"/>
  <c r="B5" i="5"/>
  <c r="C5" i="5"/>
  <c r="D5" i="5"/>
  <c r="L11" i="5" s="1" a="1"/>
  <c r="L11" i="5" s="1"/>
  <c r="E5" i="5"/>
  <c r="L27" i="5" s="1" a="1"/>
  <c r="L27" i="5" s="1"/>
  <c r="G10" i="7"/>
  <c r="G6" i="7"/>
  <c r="F6" i="7"/>
  <c r="E6" i="7"/>
  <c r="D10" i="7"/>
  <c r="D6" i="7"/>
  <c r="C9" i="7"/>
  <c r="C6" i="7"/>
  <c r="B9" i="7"/>
  <c r="B6" i="7"/>
  <c r="A2" i="7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B14" i="6"/>
  <c r="B13" i="6"/>
  <c r="B12" i="6" a="1"/>
  <c r="B12" i="6" s="1"/>
  <c r="B11" i="6" a="1"/>
  <c r="B11" i="6" s="1"/>
  <c r="B10" i="6"/>
  <c r="B9" i="6"/>
  <c r="B8" i="6"/>
  <c r="B6" i="6"/>
  <c r="B3" i="3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D11" i="5"/>
  <c r="D12" i="5"/>
  <c r="D15" i="5"/>
  <c r="D16" i="5"/>
  <c r="D17" i="5"/>
  <c r="D18" i="5"/>
  <c r="D19" i="5"/>
  <c r="D20" i="5"/>
  <c r="D23" i="5"/>
  <c r="D24" i="5"/>
  <c r="D25" i="5"/>
  <c r="D26" i="5"/>
  <c r="D27" i="5"/>
  <c r="D28" i="5"/>
  <c r="D31" i="5"/>
  <c r="D32" i="5"/>
  <c r="D33" i="5"/>
  <c r="D34" i="5"/>
  <c r="D35" i="5"/>
  <c r="D36" i="5"/>
  <c r="D39" i="5"/>
  <c r="D40" i="5"/>
  <c r="D41" i="5"/>
  <c r="D42" i="5"/>
  <c r="D43" i="5"/>
  <c r="D44" i="5"/>
  <c r="D47" i="5"/>
  <c r="D48" i="5"/>
  <c r="D49" i="5"/>
  <c r="D50" i="5"/>
  <c r="D51" i="5"/>
  <c r="D52" i="5"/>
  <c r="D55" i="5"/>
  <c r="D56" i="5"/>
  <c r="D57" i="5"/>
  <c r="D58" i="5"/>
  <c r="D59" i="5"/>
  <c r="D60" i="5"/>
  <c r="D63" i="5"/>
  <c r="D64" i="5"/>
  <c r="D65" i="5"/>
  <c r="D66" i="5"/>
  <c r="D67" i="5"/>
  <c r="D68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I10" i="5"/>
  <c r="H10" i="5"/>
  <c r="G10" i="5"/>
  <c r="F10" i="5"/>
  <c r="E10" i="5"/>
  <c r="D10" i="5"/>
  <c r="C10" i="5"/>
  <c r="B10" i="5"/>
  <c r="A10" i="5"/>
  <c r="B10" i="4"/>
  <c r="B7" i="7" s="1"/>
  <c r="C10" i="4"/>
  <c r="C7" i="7" s="1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Q2" i="3"/>
  <c r="P2" i="3"/>
  <c r="O2" i="3"/>
  <c r="N2" i="3"/>
  <c r="H30" i="3"/>
  <c r="K21" i="3"/>
  <c r="N28" i="5" s="1"/>
  <c r="K29" i="3"/>
  <c r="N36" i="5" s="1"/>
  <c r="K31" i="3"/>
  <c r="N38" i="5" s="1"/>
  <c r="K33" i="3"/>
  <c r="N40" i="5" s="1"/>
  <c r="K49" i="3"/>
  <c r="N56" i="5" s="1"/>
  <c r="K57" i="3"/>
  <c r="N64" i="5" s="1"/>
  <c r="J4" i="3"/>
  <c r="J5" i="3"/>
  <c r="K5" i="3" s="1"/>
  <c r="N12" i="5" s="1"/>
  <c r="J6" i="3"/>
  <c r="K6" i="3" s="1"/>
  <c r="N13" i="5" s="1"/>
  <c r="J7" i="3"/>
  <c r="J8" i="3"/>
  <c r="J9" i="3"/>
  <c r="K9" i="3" s="1"/>
  <c r="N16" i="5" s="1"/>
  <c r="J10" i="3"/>
  <c r="K10" i="3" s="1"/>
  <c r="N17" i="5" s="1"/>
  <c r="J11" i="3"/>
  <c r="K11" i="3" s="1"/>
  <c r="N18" i="5" s="1"/>
  <c r="J12" i="3"/>
  <c r="J13" i="3"/>
  <c r="J14" i="3"/>
  <c r="K14" i="3" s="1"/>
  <c r="N21" i="5" s="1"/>
  <c r="J15" i="3"/>
  <c r="K15" i="3" s="1"/>
  <c r="N22" i="5" s="1"/>
  <c r="J16" i="3"/>
  <c r="J17" i="3"/>
  <c r="K17" i="3" s="1"/>
  <c r="N24" i="5" s="1"/>
  <c r="J18" i="3"/>
  <c r="K18" i="3" s="1"/>
  <c r="N25" i="5" s="1"/>
  <c r="J19" i="3"/>
  <c r="J20" i="3"/>
  <c r="J21" i="3"/>
  <c r="J22" i="3"/>
  <c r="K22" i="3" s="1"/>
  <c r="N29" i="5" s="1"/>
  <c r="J23" i="3"/>
  <c r="K23" i="3" s="1"/>
  <c r="N30" i="5" s="1"/>
  <c r="J24" i="3"/>
  <c r="J25" i="3"/>
  <c r="K25" i="3" s="1"/>
  <c r="N32" i="5" s="1"/>
  <c r="J26" i="3"/>
  <c r="K26" i="3" s="1"/>
  <c r="N33" i="5" s="1"/>
  <c r="J27" i="3"/>
  <c r="K27" i="3" s="1"/>
  <c r="J28" i="3"/>
  <c r="J29" i="3"/>
  <c r="J30" i="3"/>
  <c r="J31" i="3"/>
  <c r="J32" i="3"/>
  <c r="J33" i="3"/>
  <c r="J34" i="3"/>
  <c r="K34" i="3" s="1"/>
  <c r="N41" i="5" s="1"/>
  <c r="J35" i="3"/>
  <c r="K35" i="3" s="1"/>
  <c r="N42" i="5" s="1"/>
  <c r="J36" i="3"/>
  <c r="K36" i="3" s="1"/>
  <c r="N43" i="5" s="1"/>
  <c r="J37" i="3"/>
  <c r="K37" i="3" s="1"/>
  <c r="N44" i="5" s="1"/>
  <c r="J38" i="3"/>
  <c r="K38" i="3" s="1"/>
  <c r="N45" i="5" s="1"/>
  <c r="J39" i="3"/>
  <c r="J40" i="3"/>
  <c r="J41" i="3"/>
  <c r="K41" i="3" s="1"/>
  <c r="N48" i="5" s="1"/>
  <c r="J42" i="3"/>
  <c r="K42" i="3" s="1"/>
  <c r="N49" i="5" s="1"/>
  <c r="J43" i="3"/>
  <c r="K43" i="3" s="1"/>
  <c r="N50" i="5" s="1"/>
  <c r="J44" i="3"/>
  <c r="K44" i="3" s="1"/>
  <c r="N51" i="5" s="1"/>
  <c r="J45" i="3"/>
  <c r="K45" i="3" s="1"/>
  <c r="N52" i="5" s="1"/>
  <c r="J46" i="3"/>
  <c r="K46" i="3" s="1"/>
  <c r="N53" i="5" s="1"/>
  <c r="J47" i="3"/>
  <c r="J48" i="3"/>
  <c r="J49" i="3"/>
  <c r="J50" i="3"/>
  <c r="K50" i="3" s="1"/>
  <c r="N57" i="5" s="1"/>
  <c r="J51" i="3"/>
  <c r="K51" i="3" s="1"/>
  <c r="J52" i="3"/>
  <c r="K52" i="3" s="1"/>
  <c r="N59" i="5" s="1"/>
  <c r="J53" i="3"/>
  <c r="K53" i="3" s="1"/>
  <c r="N60" i="5" s="1"/>
  <c r="J54" i="3"/>
  <c r="K54" i="3" s="1"/>
  <c r="N61" i="5" s="1"/>
  <c r="J55" i="3"/>
  <c r="K55" i="3" s="1"/>
  <c r="N62" i="5" s="1"/>
  <c r="J56" i="3"/>
  <c r="J57" i="3"/>
  <c r="J58" i="3"/>
  <c r="K58" i="3" s="1"/>
  <c r="N65" i="5" s="1"/>
  <c r="J59" i="3"/>
  <c r="K59" i="3" s="1"/>
  <c r="N66" i="5" s="1"/>
  <c r="J60" i="3"/>
  <c r="K60" i="3" s="1"/>
  <c r="N67" i="5" s="1"/>
  <c r="J61" i="3"/>
  <c r="K61" i="3" s="1"/>
  <c r="N68" i="5" s="1"/>
  <c r="J62" i="3"/>
  <c r="K62" i="3" s="1"/>
  <c r="N69" i="5" s="1"/>
  <c r="J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3" i="3"/>
  <c r="B4" i="3"/>
  <c r="C4" i="3"/>
  <c r="D4" i="3"/>
  <c r="E4" i="3"/>
  <c r="F4" i="3"/>
  <c r="G4" i="3"/>
  <c r="H4" i="3"/>
  <c r="B5" i="3"/>
  <c r="C5" i="3"/>
  <c r="D5" i="3"/>
  <c r="E5" i="3"/>
  <c r="F5" i="3"/>
  <c r="G5" i="3"/>
  <c r="H5" i="3"/>
  <c r="B6" i="3"/>
  <c r="C6" i="3"/>
  <c r="D6" i="3"/>
  <c r="E6" i="3"/>
  <c r="F6" i="3"/>
  <c r="G6" i="3"/>
  <c r="H6" i="3"/>
  <c r="B7" i="3"/>
  <c r="C7" i="3"/>
  <c r="D7" i="3"/>
  <c r="E7" i="3"/>
  <c r="F7" i="3"/>
  <c r="G7" i="3"/>
  <c r="H7" i="3"/>
  <c r="B8" i="3"/>
  <c r="C8" i="3"/>
  <c r="D8" i="3"/>
  <c r="E8" i="3"/>
  <c r="F8" i="3"/>
  <c r="G8" i="3"/>
  <c r="H8" i="3"/>
  <c r="B9" i="3"/>
  <c r="C9" i="3"/>
  <c r="D9" i="3"/>
  <c r="E9" i="3"/>
  <c r="F9" i="3"/>
  <c r="G9" i="3"/>
  <c r="H9" i="3"/>
  <c r="B10" i="3"/>
  <c r="C10" i="3"/>
  <c r="D10" i="3"/>
  <c r="E10" i="3"/>
  <c r="F10" i="3"/>
  <c r="G10" i="3"/>
  <c r="H10" i="3"/>
  <c r="B11" i="3"/>
  <c r="C11" i="3"/>
  <c r="D11" i="3"/>
  <c r="E11" i="3"/>
  <c r="F11" i="3"/>
  <c r="G11" i="3"/>
  <c r="H11" i="3"/>
  <c r="B12" i="3"/>
  <c r="C12" i="3"/>
  <c r="D12" i="3"/>
  <c r="E12" i="3"/>
  <c r="F12" i="3"/>
  <c r="G12" i="3"/>
  <c r="H12" i="3"/>
  <c r="B13" i="3"/>
  <c r="C13" i="3"/>
  <c r="D13" i="3"/>
  <c r="E13" i="3"/>
  <c r="F13" i="3"/>
  <c r="G13" i="3"/>
  <c r="H13" i="3"/>
  <c r="B14" i="3"/>
  <c r="C14" i="3"/>
  <c r="D14" i="3"/>
  <c r="E14" i="3"/>
  <c r="F14" i="3"/>
  <c r="G14" i="3"/>
  <c r="H14" i="3"/>
  <c r="B15" i="3"/>
  <c r="C15" i="3"/>
  <c r="D15" i="3"/>
  <c r="E15" i="3"/>
  <c r="F15" i="3"/>
  <c r="G15" i="3"/>
  <c r="H15" i="3"/>
  <c r="B16" i="3"/>
  <c r="C16" i="3"/>
  <c r="D16" i="3"/>
  <c r="E16" i="3"/>
  <c r="F16" i="3"/>
  <c r="G16" i="3"/>
  <c r="H16" i="3"/>
  <c r="B17" i="3"/>
  <c r="C17" i="3"/>
  <c r="D17" i="3"/>
  <c r="E17" i="3"/>
  <c r="F17" i="3"/>
  <c r="G17" i="3"/>
  <c r="H17" i="3"/>
  <c r="B18" i="3"/>
  <c r="C18" i="3"/>
  <c r="D18" i="3"/>
  <c r="E18" i="3"/>
  <c r="F18" i="3"/>
  <c r="G18" i="3"/>
  <c r="H18" i="3"/>
  <c r="B19" i="3"/>
  <c r="C19" i="3"/>
  <c r="D19" i="3"/>
  <c r="E19" i="3"/>
  <c r="F19" i="3"/>
  <c r="G19" i="3"/>
  <c r="H19" i="3"/>
  <c r="B20" i="3"/>
  <c r="C20" i="3"/>
  <c r="D20" i="3"/>
  <c r="E20" i="3"/>
  <c r="F20" i="3"/>
  <c r="G20" i="3"/>
  <c r="H20" i="3"/>
  <c r="B21" i="3"/>
  <c r="C21" i="3"/>
  <c r="D21" i="3"/>
  <c r="E21" i="3"/>
  <c r="F21" i="3"/>
  <c r="G21" i="3"/>
  <c r="H21" i="3"/>
  <c r="B22" i="3"/>
  <c r="C22" i="3"/>
  <c r="D22" i="3"/>
  <c r="E22" i="3"/>
  <c r="F22" i="3"/>
  <c r="G22" i="3"/>
  <c r="H22" i="3"/>
  <c r="B23" i="3"/>
  <c r="C23" i="3"/>
  <c r="D23" i="3"/>
  <c r="E23" i="3"/>
  <c r="F23" i="3"/>
  <c r="G23" i="3"/>
  <c r="H23" i="3"/>
  <c r="B24" i="3"/>
  <c r="C24" i="3"/>
  <c r="D24" i="3"/>
  <c r="E24" i="3"/>
  <c r="F24" i="3"/>
  <c r="G24" i="3"/>
  <c r="H24" i="3"/>
  <c r="B25" i="3"/>
  <c r="C25" i="3"/>
  <c r="D25" i="3"/>
  <c r="E25" i="3"/>
  <c r="F25" i="3"/>
  <c r="G25" i="3"/>
  <c r="H25" i="3"/>
  <c r="B26" i="3"/>
  <c r="C26" i="3"/>
  <c r="D26" i="3"/>
  <c r="E26" i="3"/>
  <c r="F26" i="3"/>
  <c r="G26" i="3"/>
  <c r="H26" i="3"/>
  <c r="B27" i="3"/>
  <c r="C27" i="3"/>
  <c r="D27" i="3"/>
  <c r="E27" i="3"/>
  <c r="F27" i="3"/>
  <c r="G27" i="3"/>
  <c r="H27" i="3"/>
  <c r="B28" i="3"/>
  <c r="C28" i="3"/>
  <c r="D28" i="3"/>
  <c r="E28" i="3"/>
  <c r="F28" i="3"/>
  <c r="G28" i="3"/>
  <c r="H28" i="3"/>
  <c r="B29" i="3"/>
  <c r="C29" i="3"/>
  <c r="D29" i="3"/>
  <c r="E29" i="3"/>
  <c r="F29" i="3"/>
  <c r="G29" i="3"/>
  <c r="H29" i="3"/>
  <c r="B30" i="3"/>
  <c r="C30" i="3"/>
  <c r="D30" i="3"/>
  <c r="E30" i="3"/>
  <c r="F30" i="3"/>
  <c r="G30" i="3"/>
  <c r="B31" i="3"/>
  <c r="C31" i="3"/>
  <c r="D31" i="3"/>
  <c r="E31" i="3"/>
  <c r="F31" i="3"/>
  <c r="G31" i="3"/>
  <c r="H31" i="3"/>
  <c r="B32" i="3"/>
  <c r="C32" i="3"/>
  <c r="D32" i="3"/>
  <c r="E32" i="3"/>
  <c r="F32" i="3"/>
  <c r="G32" i="3"/>
  <c r="H32" i="3"/>
  <c r="B33" i="3"/>
  <c r="C33" i="3"/>
  <c r="D33" i="3"/>
  <c r="E33" i="3"/>
  <c r="F33" i="3"/>
  <c r="G33" i="3"/>
  <c r="H33" i="3"/>
  <c r="B34" i="3"/>
  <c r="C34" i="3"/>
  <c r="D34" i="3"/>
  <c r="E34" i="3"/>
  <c r="F34" i="3"/>
  <c r="G34" i="3"/>
  <c r="H34" i="3"/>
  <c r="B35" i="3"/>
  <c r="C35" i="3"/>
  <c r="D35" i="3"/>
  <c r="E35" i="3"/>
  <c r="F35" i="3"/>
  <c r="G35" i="3"/>
  <c r="H35" i="3"/>
  <c r="B36" i="3"/>
  <c r="C36" i="3"/>
  <c r="D36" i="3"/>
  <c r="E36" i="3"/>
  <c r="F36" i="3"/>
  <c r="G36" i="3"/>
  <c r="H36" i="3"/>
  <c r="B37" i="3"/>
  <c r="C37" i="3"/>
  <c r="D37" i="3"/>
  <c r="E37" i="3"/>
  <c r="F37" i="3"/>
  <c r="G37" i="3"/>
  <c r="H37" i="3"/>
  <c r="B38" i="3"/>
  <c r="C38" i="3"/>
  <c r="D38" i="3"/>
  <c r="E38" i="3"/>
  <c r="F38" i="3"/>
  <c r="G38" i="3"/>
  <c r="H38" i="3"/>
  <c r="B39" i="3"/>
  <c r="C39" i="3"/>
  <c r="D39" i="3"/>
  <c r="E39" i="3"/>
  <c r="F39" i="3"/>
  <c r="G39" i="3"/>
  <c r="H39" i="3"/>
  <c r="B40" i="3"/>
  <c r="C40" i="3"/>
  <c r="D40" i="3"/>
  <c r="E40" i="3"/>
  <c r="F40" i="3"/>
  <c r="G40" i="3"/>
  <c r="H40" i="3"/>
  <c r="B41" i="3"/>
  <c r="C41" i="3"/>
  <c r="D41" i="3"/>
  <c r="E41" i="3"/>
  <c r="F41" i="3"/>
  <c r="G41" i="3"/>
  <c r="H41" i="3"/>
  <c r="B42" i="3"/>
  <c r="C42" i="3"/>
  <c r="D42" i="3"/>
  <c r="E42" i="3"/>
  <c r="F42" i="3"/>
  <c r="G42" i="3"/>
  <c r="H42" i="3"/>
  <c r="B43" i="3"/>
  <c r="C43" i="3"/>
  <c r="D43" i="3"/>
  <c r="E43" i="3"/>
  <c r="F43" i="3"/>
  <c r="G43" i="3"/>
  <c r="H43" i="3"/>
  <c r="B44" i="3"/>
  <c r="C44" i="3"/>
  <c r="D44" i="3"/>
  <c r="E44" i="3"/>
  <c r="F44" i="3"/>
  <c r="G44" i="3"/>
  <c r="H44" i="3"/>
  <c r="B45" i="3"/>
  <c r="C45" i="3"/>
  <c r="D45" i="3"/>
  <c r="E45" i="3"/>
  <c r="F45" i="3"/>
  <c r="G45" i="3"/>
  <c r="H45" i="3"/>
  <c r="B46" i="3"/>
  <c r="C46" i="3"/>
  <c r="D46" i="3"/>
  <c r="E46" i="3"/>
  <c r="F46" i="3"/>
  <c r="G46" i="3"/>
  <c r="H46" i="3"/>
  <c r="B47" i="3"/>
  <c r="C47" i="3"/>
  <c r="D47" i="3"/>
  <c r="E47" i="3"/>
  <c r="F47" i="3"/>
  <c r="G47" i="3"/>
  <c r="H47" i="3"/>
  <c r="B48" i="3"/>
  <c r="C48" i="3"/>
  <c r="D48" i="3"/>
  <c r="E48" i="3"/>
  <c r="F48" i="3"/>
  <c r="G48" i="3"/>
  <c r="H48" i="3"/>
  <c r="B49" i="3"/>
  <c r="C49" i="3"/>
  <c r="D49" i="3"/>
  <c r="E49" i="3"/>
  <c r="F49" i="3"/>
  <c r="G49" i="3"/>
  <c r="H49" i="3"/>
  <c r="B50" i="3"/>
  <c r="C50" i="3"/>
  <c r="D50" i="3"/>
  <c r="E50" i="3"/>
  <c r="F50" i="3"/>
  <c r="G50" i="3"/>
  <c r="H50" i="3"/>
  <c r="B51" i="3"/>
  <c r="C51" i="3"/>
  <c r="D51" i="3"/>
  <c r="E51" i="3"/>
  <c r="F51" i="3"/>
  <c r="G51" i="3"/>
  <c r="H51" i="3"/>
  <c r="B52" i="3"/>
  <c r="C52" i="3"/>
  <c r="D52" i="3"/>
  <c r="E52" i="3"/>
  <c r="F52" i="3"/>
  <c r="G52" i="3"/>
  <c r="H52" i="3"/>
  <c r="B53" i="3"/>
  <c r="C53" i="3"/>
  <c r="D53" i="3"/>
  <c r="E53" i="3"/>
  <c r="F53" i="3"/>
  <c r="G53" i="3"/>
  <c r="H53" i="3"/>
  <c r="B54" i="3"/>
  <c r="C54" i="3"/>
  <c r="D54" i="3"/>
  <c r="E54" i="3"/>
  <c r="F54" i="3"/>
  <c r="G54" i="3"/>
  <c r="H54" i="3"/>
  <c r="B55" i="3"/>
  <c r="C55" i="3"/>
  <c r="D55" i="3"/>
  <c r="E55" i="3"/>
  <c r="F55" i="3"/>
  <c r="G55" i="3"/>
  <c r="H55" i="3"/>
  <c r="B56" i="3"/>
  <c r="C56" i="3"/>
  <c r="D56" i="3"/>
  <c r="E56" i="3"/>
  <c r="F56" i="3"/>
  <c r="G56" i="3"/>
  <c r="H56" i="3"/>
  <c r="B57" i="3"/>
  <c r="C57" i="3"/>
  <c r="D57" i="3"/>
  <c r="E57" i="3"/>
  <c r="F57" i="3"/>
  <c r="G57" i="3"/>
  <c r="H57" i="3"/>
  <c r="B58" i="3"/>
  <c r="C58" i="3"/>
  <c r="D58" i="3"/>
  <c r="E58" i="3"/>
  <c r="F58" i="3"/>
  <c r="G58" i="3"/>
  <c r="H58" i="3"/>
  <c r="B59" i="3"/>
  <c r="C59" i="3"/>
  <c r="D59" i="3"/>
  <c r="E59" i="3"/>
  <c r="F59" i="3"/>
  <c r="G59" i="3"/>
  <c r="H59" i="3"/>
  <c r="B60" i="3"/>
  <c r="C60" i="3"/>
  <c r="D60" i="3"/>
  <c r="E60" i="3"/>
  <c r="F60" i="3"/>
  <c r="G60" i="3"/>
  <c r="H60" i="3"/>
  <c r="B61" i="3"/>
  <c r="C61" i="3"/>
  <c r="D61" i="3"/>
  <c r="E61" i="3"/>
  <c r="F61" i="3"/>
  <c r="G61" i="3"/>
  <c r="H61" i="3"/>
  <c r="B62" i="3"/>
  <c r="C62" i="3"/>
  <c r="D62" i="3"/>
  <c r="E62" i="3"/>
  <c r="F62" i="3"/>
  <c r="G62" i="3"/>
  <c r="H62" i="3"/>
  <c r="C3" i="3"/>
  <c r="D3" i="3"/>
  <c r="E3" i="3"/>
  <c r="F3" i="3"/>
  <c r="G3" i="3"/>
  <c r="H3" i="3"/>
  <c r="I4" i="2"/>
  <c r="B7" i="6" s="1"/>
  <c r="I3" i="2"/>
  <c r="J35" i="5" l="1" a="1"/>
  <c r="J35" i="5" s="1"/>
  <c r="J19" i="5" a="1"/>
  <c r="J19" i="5" s="1"/>
  <c r="J47" i="5" a="1"/>
  <c r="J47" i="5" s="1"/>
  <c r="J27" i="5" a="1"/>
  <c r="J27" i="5" s="1"/>
  <c r="J55" i="5" a="1"/>
  <c r="J55" i="5" s="1"/>
  <c r="J31" i="5" a="1"/>
  <c r="J31" i="5" s="1"/>
  <c r="J23" i="5" a="1"/>
  <c r="J23" i="5" s="1"/>
  <c r="J54" i="5" a="1"/>
  <c r="J54" i="5" s="1"/>
  <c r="J14" i="5" a="1"/>
  <c r="J14" i="5" s="1"/>
  <c r="D62" i="5"/>
  <c r="D54" i="5"/>
  <c r="K54" i="5" s="1" a="1"/>
  <c r="K54" i="5" s="1"/>
  <c r="D46" i="5"/>
  <c r="K46" i="5" s="1" a="1"/>
  <c r="K46" i="5" s="1"/>
  <c r="D38" i="5"/>
  <c r="K38" i="5" s="1" a="1"/>
  <c r="K38" i="5" s="1"/>
  <c r="D22" i="5"/>
  <c r="K22" i="5" s="1" a="1"/>
  <c r="K22" i="5" s="1"/>
  <c r="D14" i="5"/>
  <c r="J11" i="5" a="1"/>
  <c r="J11" i="5" s="1"/>
  <c r="J63" i="5" a="1"/>
  <c r="J63" i="5" s="1"/>
  <c r="J39" i="5" a="1"/>
  <c r="J39" i="5" s="1"/>
  <c r="J15" i="5" a="1"/>
  <c r="J15" i="5" s="1"/>
  <c r="J46" i="5" a="1"/>
  <c r="J46" i="5" s="1"/>
  <c r="J38" i="5" a="1"/>
  <c r="J38" i="5" s="1"/>
  <c r="D30" i="5"/>
  <c r="K30" i="5" s="1" a="1"/>
  <c r="K30" i="5" s="1"/>
  <c r="J37" i="5" a="1"/>
  <c r="J37" i="5" s="1"/>
  <c r="D69" i="5"/>
  <c r="D61" i="5"/>
  <c r="L61" i="5" s="1" a="1"/>
  <c r="L61" i="5" s="1"/>
  <c r="D53" i="5"/>
  <c r="D45" i="5"/>
  <c r="D37" i="5"/>
  <c r="D29" i="5"/>
  <c r="D21" i="5"/>
  <c r="L21" i="5" s="1" a="1"/>
  <c r="L21" i="5" s="1"/>
  <c r="K8" i="3"/>
  <c r="N15" i="5" s="1"/>
  <c r="G10" i="4"/>
  <c r="K48" i="3"/>
  <c r="N55" i="5" s="1"/>
  <c r="K7" i="3"/>
  <c r="N14" i="5" s="1"/>
  <c r="J30" i="5" a="1"/>
  <c r="J30" i="5" s="1"/>
  <c r="K47" i="3"/>
  <c r="N54" i="5" s="1"/>
  <c r="K24" i="3"/>
  <c r="N31" i="5" s="1"/>
  <c r="J22" i="5" a="1"/>
  <c r="J22" i="5" s="1"/>
  <c r="K49" i="5" a="1"/>
  <c r="K49" i="5" s="1"/>
  <c r="J36" i="5" a="1"/>
  <c r="J36" i="5" s="1"/>
  <c r="J28" i="5" a="1"/>
  <c r="J28" i="5" s="1"/>
  <c r="J20" i="5" a="1"/>
  <c r="J20" i="5" s="1"/>
  <c r="J12" i="5" a="1"/>
  <c r="J12" i="5" s="1"/>
  <c r="K47" i="5" a="1"/>
  <c r="K47" i="5" s="1"/>
  <c r="K14" i="5" a="1"/>
  <c r="K14" i="5" s="1"/>
  <c r="K40" i="3"/>
  <c r="N47" i="5" s="1"/>
  <c r="K65" i="5" a="1"/>
  <c r="K65" i="5" s="1"/>
  <c r="L66" i="5" a="1"/>
  <c r="L66" i="5" s="1"/>
  <c r="K3" i="3"/>
  <c r="N10" i="5" s="1"/>
  <c r="J26" i="5" a="1"/>
  <c r="J26" i="5" s="1"/>
  <c r="K39" i="3"/>
  <c r="N46" i="5" s="1"/>
  <c r="K16" i="3"/>
  <c r="N23" i="5" s="1"/>
  <c r="J62" i="5" a="1"/>
  <c r="J62" i="5" s="1"/>
  <c r="K63" i="5" a="1"/>
  <c r="K63" i="5" s="1"/>
  <c r="K41" i="5" a="1"/>
  <c r="K41" i="5" s="1"/>
  <c r="L59" i="5" a="1"/>
  <c r="L59" i="5" s="1"/>
  <c r="K62" i="5" a="1"/>
  <c r="K62" i="5" s="1"/>
  <c r="K39" i="5" a="1"/>
  <c r="K39" i="5" s="1"/>
  <c r="L53" i="5" a="1"/>
  <c r="L53" i="5" s="1"/>
  <c r="K56" i="3"/>
  <c r="N63" i="5" s="1"/>
  <c r="K32" i="3"/>
  <c r="N39" i="5" s="1"/>
  <c r="K13" i="3"/>
  <c r="N20" i="5" s="1"/>
  <c r="E10" i="4"/>
  <c r="E7" i="7" s="1"/>
  <c r="K57" i="5" a="1"/>
  <c r="K57" i="5" s="1"/>
  <c r="L40" i="5" a="1"/>
  <c r="L40" i="5" s="1"/>
  <c r="F10" i="4"/>
  <c r="F7" i="7" s="1"/>
  <c r="K55" i="5" a="1"/>
  <c r="K55" i="5" s="1"/>
  <c r="K31" i="5" a="1"/>
  <c r="K31" i="5" s="1"/>
  <c r="L34" i="5" a="1"/>
  <c r="L34" i="5" s="1"/>
  <c r="N58" i="5"/>
  <c r="L3" i="5" s="1"/>
  <c r="B13" i="4"/>
  <c r="N34" i="5"/>
  <c r="K33" i="5" a="1"/>
  <c r="K33" i="5" s="1"/>
  <c r="K25" i="5" a="1"/>
  <c r="K25" i="5" s="1"/>
  <c r="K17" i="5" a="1"/>
  <c r="K17" i="5" s="1"/>
  <c r="L68" i="5" a="1"/>
  <c r="L68" i="5" s="1"/>
  <c r="L62" i="5" a="1"/>
  <c r="L62" i="5" s="1"/>
  <c r="L55" i="5" a="1"/>
  <c r="L55" i="5" s="1"/>
  <c r="L49" i="5" a="1"/>
  <c r="L49" i="5" s="1"/>
  <c r="L36" i="5" a="1"/>
  <c r="L36" i="5" s="1"/>
  <c r="L23" i="5" a="1"/>
  <c r="L23" i="5" s="1"/>
  <c r="L17" i="5" a="1"/>
  <c r="L17" i="5" s="1"/>
  <c r="J69" i="5" a="1"/>
  <c r="J69" i="5" s="1"/>
  <c r="J61" i="5" a="1"/>
  <c r="J61" i="5" s="1"/>
  <c r="J53" i="5" a="1"/>
  <c r="J53" i="5" s="1"/>
  <c r="J45" i="5" a="1"/>
  <c r="J45" i="5" s="1"/>
  <c r="J29" i="5" a="1"/>
  <c r="J29" i="5" s="1"/>
  <c r="J21" i="5" a="1"/>
  <c r="J21" i="5" s="1"/>
  <c r="J13" i="5" a="1"/>
  <c r="J13" i="5" s="1"/>
  <c r="K64" i="5" a="1"/>
  <c r="K64" i="5" s="1"/>
  <c r="K56" i="5" a="1"/>
  <c r="K56" i="5" s="1"/>
  <c r="K48" i="5" a="1"/>
  <c r="K48" i="5" s="1"/>
  <c r="K40" i="5" a="1"/>
  <c r="K40" i="5" s="1"/>
  <c r="K32" i="5" a="1"/>
  <c r="K32" i="5" s="1"/>
  <c r="K24" i="5" a="1"/>
  <c r="K24" i="5" s="1"/>
  <c r="K16" i="5" a="1"/>
  <c r="K16" i="5" s="1"/>
  <c r="L67" i="5" a="1"/>
  <c r="L67" i="5" s="1"/>
  <c r="L48" i="5" a="1"/>
  <c r="L48" i="5" s="1"/>
  <c r="L42" i="5" a="1"/>
  <c r="L42" i="5" s="1"/>
  <c r="L35" i="5" a="1"/>
  <c r="L35" i="5" s="1"/>
  <c r="L29" i="5" a="1"/>
  <c r="L29" i="5" s="1"/>
  <c r="L16" i="5" a="1"/>
  <c r="L16" i="5" s="1"/>
  <c r="J68" i="5" a="1"/>
  <c r="J68" i="5" s="1"/>
  <c r="J60" i="5" a="1"/>
  <c r="J60" i="5" s="1"/>
  <c r="J52" i="5" a="1"/>
  <c r="J52" i="5" s="1"/>
  <c r="J44" i="5" a="1"/>
  <c r="J44" i="5" s="1"/>
  <c r="K23" i="5" a="1"/>
  <c r="K23" i="5" s="1"/>
  <c r="K15" i="5" a="1"/>
  <c r="K15" i="5" s="1"/>
  <c r="L60" i="5" a="1"/>
  <c r="L60" i="5" s="1"/>
  <c r="L54" i="5" a="1"/>
  <c r="L54" i="5" s="1"/>
  <c r="L47" i="5" a="1"/>
  <c r="L47" i="5" s="1"/>
  <c r="M47" i="5" s="1"/>
  <c r="O47" i="5" s="1"/>
  <c r="L41" i="5" a="1"/>
  <c r="L41" i="5" s="1"/>
  <c r="L28" i="5" a="1"/>
  <c r="L28" i="5" s="1"/>
  <c r="L15" i="5" a="1"/>
  <c r="L15" i="5" s="1"/>
  <c r="K30" i="3"/>
  <c r="N37" i="5" s="1"/>
  <c r="K28" i="3"/>
  <c r="N35" i="5" s="1"/>
  <c r="K20" i="3"/>
  <c r="N27" i="5" s="1"/>
  <c r="K12" i="3"/>
  <c r="N19" i="5" s="1"/>
  <c r="K4" i="3"/>
  <c r="N11" i="5" s="1"/>
  <c r="J58" i="5" a="1"/>
  <c r="J58" i="5" s="1"/>
  <c r="J34" i="5" a="1"/>
  <c r="J34" i="5" s="1"/>
  <c r="J18" i="5" a="1"/>
  <c r="J18" i="5" s="1"/>
  <c r="K61" i="5" a="1"/>
  <c r="K61" i="5" s="1"/>
  <c r="K45" i="5" a="1"/>
  <c r="K45" i="5" s="1"/>
  <c r="K29" i="5" a="1"/>
  <c r="K29" i="5" s="1"/>
  <c r="K13" i="5" a="1"/>
  <c r="K13" i="5" s="1"/>
  <c r="L52" i="5" a="1"/>
  <c r="L52" i="5" s="1"/>
  <c r="L46" i="5" a="1"/>
  <c r="L46" i="5" s="1"/>
  <c r="L39" i="5" a="1"/>
  <c r="L39" i="5" s="1"/>
  <c r="M39" i="5" s="1"/>
  <c r="O39" i="5" s="1"/>
  <c r="L33" i="5" a="1"/>
  <c r="L33" i="5" s="1"/>
  <c r="L20" i="5" a="1"/>
  <c r="L20" i="5" s="1"/>
  <c r="L14" i="5" a="1"/>
  <c r="L14" i="5" s="1"/>
  <c r="M14" i="5" s="1"/>
  <c r="O14" i="5" s="1"/>
  <c r="J67" i="5" a="1"/>
  <c r="J67" i="5" s="1"/>
  <c r="J59" i="5" a="1"/>
  <c r="J59" i="5" s="1"/>
  <c r="J51" i="5" a="1"/>
  <c r="J51" i="5" s="1"/>
  <c r="J43" i="5" a="1"/>
  <c r="J43" i="5" s="1"/>
  <c r="K19" i="3"/>
  <c r="N26" i="5" s="1"/>
  <c r="J65" i="5" a="1"/>
  <c r="J65" i="5" s="1"/>
  <c r="J57" i="5" a="1"/>
  <c r="J57" i="5" s="1"/>
  <c r="J49" i="5" a="1"/>
  <c r="J49" i="5" s="1"/>
  <c r="J41" i="5" a="1"/>
  <c r="J41" i="5" s="1"/>
  <c r="J33" i="5" a="1"/>
  <c r="J33" i="5" s="1"/>
  <c r="J25" i="5" a="1"/>
  <c r="J25" i="5" s="1"/>
  <c r="J17" i="5" a="1"/>
  <c r="J17" i="5" s="1"/>
  <c r="M17" i="5" s="1"/>
  <c r="O17" i="5" s="1"/>
  <c r="K68" i="5" a="1"/>
  <c r="K68" i="5" s="1"/>
  <c r="K60" i="5" a="1"/>
  <c r="K60" i="5" s="1"/>
  <c r="K52" i="5" a="1"/>
  <c r="K52" i="5" s="1"/>
  <c r="K44" i="5" a="1"/>
  <c r="K44" i="5" s="1"/>
  <c r="K36" i="5" a="1"/>
  <c r="K36" i="5" s="1"/>
  <c r="M36" i="5" s="1"/>
  <c r="O36" i="5" s="1"/>
  <c r="K28" i="5" a="1"/>
  <c r="K28" i="5" s="1"/>
  <c r="K20" i="5" a="1"/>
  <c r="K20" i="5" s="1"/>
  <c r="K12" i="5" a="1"/>
  <c r="K12" i="5" s="1"/>
  <c r="L64" i="5" a="1"/>
  <c r="L64" i="5" s="1"/>
  <c r="L58" i="5" a="1"/>
  <c r="L58" i="5" s="1"/>
  <c r="L51" i="5" a="1"/>
  <c r="L51" i="5" s="1"/>
  <c r="L45" i="5" a="1"/>
  <c r="L45" i="5" s="1"/>
  <c r="L32" i="5" a="1"/>
  <c r="L32" i="5" s="1"/>
  <c r="L26" i="5" a="1"/>
  <c r="L26" i="5" s="1"/>
  <c r="L19" i="5" a="1"/>
  <c r="L19" i="5" s="1"/>
  <c r="L13" i="5" a="1"/>
  <c r="L13" i="5" s="1"/>
  <c r="J66" i="5" a="1"/>
  <c r="J66" i="5" s="1"/>
  <c r="J50" i="5" a="1"/>
  <c r="J50" i="5" s="1"/>
  <c r="J42" i="5" a="1"/>
  <c r="J42" i="5" s="1"/>
  <c r="K69" i="5" a="1"/>
  <c r="K69" i="5" s="1"/>
  <c r="K53" i="5" a="1"/>
  <c r="K53" i="5" s="1"/>
  <c r="K37" i="5" a="1"/>
  <c r="K37" i="5" s="1"/>
  <c r="K21" i="5" a="1"/>
  <c r="K21" i="5" s="1"/>
  <c r="L65" i="5" a="1"/>
  <c r="L65" i="5" s="1"/>
  <c r="L10" i="5" a="1"/>
  <c r="L10" i="5" s="1"/>
  <c r="J64" i="5" a="1"/>
  <c r="J64" i="5" s="1"/>
  <c r="J56" i="5" a="1"/>
  <c r="J56" i="5" s="1"/>
  <c r="J48" i="5" a="1"/>
  <c r="J48" i="5" s="1"/>
  <c r="J40" i="5" a="1"/>
  <c r="J40" i="5" s="1"/>
  <c r="M40" i="5" s="1"/>
  <c r="O40" i="5" s="1"/>
  <c r="J32" i="5" a="1"/>
  <c r="J32" i="5" s="1"/>
  <c r="J24" i="5" a="1"/>
  <c r="J24" i="5" s="1"/>
  <c r="J16" i="5" a="1"/>
  <c r="J16" i="5" s="1"/>
  <c r="K67" i="5" a="1"/>
  <c r="K67" i="5" s="1"/>
  <c r="K59" i="5" a="1"/>
  <c r="K59" i="5" s="1"/>
  <c r="K51" i="5" a="1"/>
  <c r="K51" i="5" s="1"/>
  <c r="K43" i="5" a="1"/>
  <c r="K43" i="5" s="1"/>
  <c r="K35" i="5" a="1"/>
  <c r="K35" i="5" s="1"/>
  <c r="M35" i="5" s="1"/>
  <c r="O35" i="5" s="1"/>
  <c r="K27" i="5" a="1"/>
  <c r="K27" i="5" s="1"/>
  <c r="M27" i="5" s="1"/>
  <c r="O27" i="5" s="1"/>
  <c r="K19" i="5" a="1"/>
  <c r="K19" i="5" s="1"/>
  <c r="M19" i="5" s="1"/>
  <c r="K11" i="5" a="1"/>
  <c r="K11" i="5" s="1"/>
  <c r="M11" i="5" s="1"/>
  <c r="O11" i="5" s="1"/>
  <c r="L63" i="5" a="1"/>
  <c r="L63" i="5" s="1"/>
  <c r="M63" i="5" s="1"/>
  <c r="O63" i="5" s="1"/>
  <c r="L57" i="5" a="1"/>
  <c r="L57" i="5" s="1"/>
  <c r="L44" i="5" a="1"/>
  <c r="L44" i="5" s="1"/>
  <c r="L38" i="5" a="1"/>
  <c r="L38" i="5" s="1"/>
  <c r="L31" i="5" a="1"/>
  <c r="L31" i="5" s="1"/>
  <c r="M31" i="5" s="1"/>
  <c r="O31" i="5" s="1"/>
  <c r="L25" i="5" a="1"/>
  <c r="L25" i="5" s="1"/>
  <c r="L12" i="5" a="1"/>
  <c r="L12" i="5" s="1"/>
  <c r="K66" i="5" a="1"/>
  <c r="K66" i="5" s="1"/>
  <c r="K58" i="5" a="1"/>
  <c r="K58" i="5" s="1"/>
  <c r="K50" i="5" a="1"/>
  <c r="K50" i="5" s="1"/>
  <c r="K42" i="5" a="1"/>
  <c r="K42" i="5" s="1"/>
  <c r="K34" i="5" a="1"/>
  <c r="K34" i="5" s="1"/>
  <c r="K26" i="5" a="1"/>
  <c r="K26" i="5" s="1"/>
  <c r="K18" i="5" a="1"/>
  <c r="K18" i="5" s="1"/>
  <c r="L69" i="5" a="1"/>
  <c r="L69" i="5" s="1"/>
  <c r="L56" i="5" a="1"/>
  <c r="L56" i="5" s="1"/>
  <c r="L50" i="5" a="1"/>
  <c r="L50" i="5" s="1"/>
  <c r="L43" i="5" a="1"/>
  <c r="L43" i="5" s="1"/>
  <c r="L37" i="5" a="1"/>
  <c r="L37" i="5" s="1"/>
  <c r="L24" i="5" a="1"/>
  <c r="L24" i="5" s="1"/>
  <c r="L18" i="5" a="1"/>
  <c r="L18" i="5" s="1"/>
  <c r="J10" i="5" a="1"/>
  <c r="J10" i="5" s="1"/>
  <c r="L3" i="3"/>
  <c r="M3" i="3"/>
  <c r="D10" i="4"/>
  <c r="K10" i="5" a="1"/>
  <c r="K10" i="5" s="1"/>
  <c r="G7" i="7" l="1"/>
  <c r="B27" i="4"/>
  <c r="B26" i="4"/>
  <c r="D7" i="7"/>
  <c r="L30" i="5" a="1"/>
  <c r="L30" i="5" s="1"/>
  <c r="M54" i="5"/>
  <c r="O54" i="5" s="1"/>
  <c r="M38" i="5"/>
  <c r="O38" i="5" s="1"/>
  <c r="L22" i="5" a="1"/>
  <c r="L22" i="5" s="1"/>
  <c r="M22" i="5" s="1"/>
  <c r="O22" i="5" s="1"/>
  <c r="M46" i="5"/>
  <c r="O46" i="5" s="1"/>
  <c r="M55" i="5"/>
  <c r="O55" i="5" s="1"/>
  <c r="M60" i="5"/>
  <c r="O60" i="5" s="1"/>
  <c r="M32" i="5"/>
  <c r="O32" i="5" s="1"/>
  <c r="M37" i="5"/>
  <c r="O37" i="5" s="1"/>
  <c r="M33" i="5"/>
  <c r="O33" i="5" s="1"/>
  <c r="M59" i="5"/>
  <c r="O59" i="5" s="1"/>
  <c r="M30" i="5"/>
  <c r="O30" i="5" s="1"/>
  <c r="M12" i="5"/>
  <c r="O12" i="5" s="1"/>
  <c r="M20" i="5"/>
  <c r="O20" i="5" s="1"/>
  <c r="M15" i="5"/>
  <c r="O15" i="5" s="1"/>
  <c r="M49" i="5"/>
  <c r="O49" i="5" s="1"/>
  <c r="M28" i="5"/>
  <c r="O28" i="5" s="1"/>
  <c r="M21" i="5"/>
  <c r="O21" i="5" s="1"/>
  <c r="M48" i="5"/>
  <c r="O48" i="5" s="1"/>
  <c r="M68" i="5"/>
  <c r="O68" i="5" s="1"/>
  <c r="M56" i="5"/>
  <c r="O56" i="5" s="1"/>
  <c r="M57" i="5"/>
  <c r="O57" i="5" s="1"/>
  <c r="L4" i="5"/>
  <c r="M26" i="5"/>
  <c r="O26" i="5" s="1"/>
  <c r="M64" i="5"/>
  <c r="O64" i="5" s="1"/>
  <c r="M65" i="5"/>
  <c r="O65" i="5" s="1"/>
  <c r="M23" i="5"/>
  <c r="O23" i="5" s="1"/>
  <c r="M62" i="5"/>
  <c r="O62" i="5" s="1"/>
  <c r="M13" i="5"/>
  <c r="O13" i="5" s="1"/>
  <c r="M41" i="5"/>
  <c r="O41" i="5" s="1"/>
  <c r="M24" i="5"/>
  <c r="O24" i="5" s="1"/>
  <c r="M25" i="5"/>
  <c r="O25" i="5" s="1"/>
  <c r="M51" i="5"/>
  <c r="O51" i="5" s="1"/>
  <c r="M52" i="5"/>
  <c r="O52" i="5" s="1"/>
  <c r="O19" i="5"/>
  <c r="M67" i="5"/>
  <c r="O67" i="5" s="1"/>
  <c r="M53" i="5"/>
  <c r="O53" i="5" s="1"/>
  <c r="C13" i="4"/>
  <c r="M29" i="5"/>
  <c r="O29" i="5" s="1"/>
  <c r="M50" i="5"/>
  <c r="O50" i="5" s="1"/>
  <c r="M18" i="5"/>
  <c r="O18" i="5" s="1"/>
  <c r="I3" i="5"/>
  <c r="K5" i="7" s="1"/>
  <c r="M66" i="5"/>
  <c r="O66" i="5" s="1"/>
  <c r="M34" i="5"/>
  <c r="O34" i="5" s="1"/>
  <c r="M61" i="5"/>
  <c r="O61" i="5" s="1"/>
  <c r="M10" i="5"/>
  <c r="H4" i="5"/>
  <c r="J6" i="7" s="1"/>
  <c r="I4" i="5"/>
  <c r="K6" i="7" s="1"/>
  <c r="M42" i="5"/>
  <c r="O42" i="5" s="1"/>
  <c r="M45" i="5"/>
  <c r="O45" i="5" s="1"/>
  <c r="J3" i="5"/>
  <c r="L5" i="7" s="1"/>
  <c r="D13" i="4"/>
  <c r="D9" i="7" s="1"/>
  <c r="M16" i="5"/>
  <c r="O16" i="5" s="1"/>
  <c r="M43" i="5"/>
  <c r="O43" i="5" s="1"/>
  <c r="H3" i="5"/>
  <c r="J5" i="7" s="1"/>
  <c r="M58" i="5"/>
  <c r="O58" i="5" s="1"/>
  <c r="M44" i="5"/>
  <c r="O44" i="5" s="1"/>
  <c r="M69" i="5"/>
  <c r="O69" i="5" s="1"/>
  <c r="L4" i="3"/>
  <c r="N3" i="3"/>
  <c r="P3" i="3"/>
  <c r="M4" i="3"/>
  <c r="J4" i="5" l="1"/>
  <c r="L6" i="7" s="1"/>
  <c r="K3" i="5"/>
  <c r="K4" i="5"/>
  <c r="R7" i="5"/>
  <c r="O10" i="5"/>
  <c r="Q2" i="5" s="1"/>
  <c r="B17" i="6" s="1"/>
  <c r="P4" i="3"/>
  <c r="Q4" i="3" s="1"/>
  <c r="N4" i="3"/>
  <c r="L5" i="3"/>
  <c r="L6" i="3" s="1"/>
  <c r="L7" i="3" s="1"/>
  <c r="M5" i="3"/>
  <c r="Q3" i="3"/>
  <c r="N5" i="3" l="1"/>
  <c r="N6" i="3" s="1"/>
  <c r="L8" i="3"/>
  <c r="M6" i="3"/>
  <c r="N7" i="3"/>
  <c r="N8" i="3" s="1"/>
  <c r="P5" i="3"/>
  <c r="Q5" i="3" s="1"/>
  <c r="L9" i="3" l="1"/>
  <c r="M7" i="3"/>
  <c r="P6" i="3"/>
  <c r="P7" i="3" s="1"/>
  <c r="Q6" i="3" l="1"/>
  <c r="M8" i="3"/>
  <c r="Q7" i="3"/>
  <c r="L10" i="3"/>
  <c r="N9" i="3"/>
  <c r="N10" i="3" s="1"/>
  <c r="M9" i="3" l="1"/>
  <c r="P8" i="3"/>
  <c r="P9" i="3" s="1"/>
  <c r="L11" i="3"/>
  <c r="N11" i="3"/>
  <c r="Q8" i="3" l="1"/>
  <c r="L12" i="3"/>
  <c r="M10" i="3"/>
  <c r="Q9" i="3"/>
  <c r="M11" i="3" l="1"/>
  <c r="P10" i="3"/>
  <c r="P11" i="3" s="1"/>
  <c r="L13" i="3"/>
  <c r="N12" i="3"/>
  <c r="N13" i="3" s="1"/>
  <c r="Q10" i="3" l="1"/>
  <c r="L14" i="3"/>
  <c r="M12" i="3"/>
  <c r="Q11" i="3"/>
  <c r="M13" i="3" l="1"/>
  <c r="L15" i="3"/>
  <c r="R14" i="3"/>
  <c r="N14" i="3"/>
  <c r="N15" i="3" s="1"/>
  <c r="P12" i="3"/>
  <c r="P13" i="3" s="1"/>
  <c r="L16" i="3" l="1"/>
  <c r="Q12" i="3"/>
  <c r="M14" i="3"/>
  <c r="Q13" i="3"/>
  <c r="M15" i="3" l="1"/>
  <c r="S14" i="3"/>
  <c r="L17" i="3"/>
  <c r="N16" i="3"/>
  <c r="N17" i="3" s="1"/>
  <c r="P14" i="3"/>
  <c r="P15" i="3" s="1"/>
  <c r="L18" i="3" l="1"/>
  <c r="N18" i="3"/>
  <c r="Q14" i="3"/>
  <c r="M16" i="3"/>
  <c r="Q15" i="3"/>
  <c r="L19" i="3" l="1"/>
  <c r="M17" i="3"/>
  <c r="P16" i="3"/>
  <c r="P17" i="3" s="1"/>
  <c r="Q16" i="3" l="1"/>
  <c r="M18" i="3"/>
  <c r="P18" i="3" s="1"/>
  <c r="Q17" i="3"/>
  <c r="L20" i="3"/>
  <c r="N19" i="3"/>
  <c r="N20" i="3" s="1"/>
  <c r="L21" i="3" l="1"/>
  <c r="M19" i="3"/>
  <c r="Q18" i="3"/>
  <c r="P19" i="3"/>
  <c r="M20" i="3" l="1"/>
  <c r="P20" i="3" s="1"/>
  <c r="Q19" i="3"/>
  <c r="L22" i="3"/>
  <c r="N21" i="3"/>
  <c r="N22" i="3" s="1"/>
  <c r="L23" i="3" l="1"/>
  <c r="M21" i="3"/>
  <c r="Q20" i="3"/>
  <c r="N23" i="3"/>
  <c r="P21" i="3"/>
  <c r="M22" i="3" l="1"/>
  <c r="Q21" i="3"/>
  <c r="L24" i="3"/>
  <c r="L25" i="3" l="1"/>
  <c r="M23" i="3"/>
  <c r="N24" i="3"/>
  <c r="N25" i="3" s="1"/>
  <c r="P22" i="3"/>
  <c r="P23" i="3" s="1"/>
  <c r="Q22" i="3" l="1"/>
  <c r="M24" i="3"/>
  <c r="Q23" i="3"/>
  <c r="L26" i="3"/>
  <c r="L27" i="3" l="1"/>
  <c r="M25" i="3"/>
  <c r="N26" i="3"/>
  <c r="N27" i="3" s="1"/>
  <c r="P24" i="3"/>
  <c r="P25" i="3" s="1"/>
  <c r="Q24" i="3" l="1"/>
  <c r="M26" i="3"/>
  <c r="Q25" i="3"/>
  <c r="L28" i="3"/>
  <c r="L29" i="3" l="1"/>
  <c r="M27" i="3"/>
  <c r="N28" i="3"/>
  <c r="N29" i="3" s="1"/>
  <c r="P26" i="3"/>
  <c r="P27" i="3" s="1"/>
  <c r="Q26" i="3" l="1"/>
  <c r="M28" i="3"/>
  <c r="Q27" i="3"/>
  <c r="L30" i="3"/>
  <c r="L31" i="3" l="1"/>
  <c r="M29" i="3"/>
  <c r="N30" i="3"/>
  <c r="N31" i="3" s="1"/>
  <c r="P28" i="3"/>
  <c r="P29" i="3" s="1"/>
  <c r="Q28" i="3" l="1"/>
  <c r="Q29" i="3"/>
  <c r="M30" i="3"/>
  <c r="P30" i="3"/>
  <c r="L32" i="3"/>
  <c r="L33" i="3" l="1"/>
  <c r="M31" i="3"/>
  <c r="P31" i="3" s="1"/>
  <c r="Q30" i="3"/>
  <c r="N32" i="3"/>
  <c r="N33" i="3" s="1"/>
  <c r="M32" i="3" l="1"/>
  <c r="Q31" i="3"/>
  <c r="L34" i="3"/>
  <c r="N34" i="3" s="1"/>
  <c r="L35" i="3" l="1"/>
  <c r="M33" i="3"/>
  <c r="N35" i="3"/>
  <c r="P32" i="3"/>
  <c r="P33" i="3" s="1"/>
  <c r="Q32" i="3" l="1"/>
  <c r="M34" i="3"/>
  <c r="Q33" i="3"/>
  <c r="L36" i="3"/>
  <c r="L37" i="3" l="1"/>
  <c r="M35" i="3"/>
  <c r="N36" i="3"/>
  <c r="N37" i="3" s="1"/>
  <c r="P34" i="3"/>
  <c r="P35" i="3" s="1"/>
  <c r="Q34" i="3" l="1"/>
  <c r="M36" i="3"/>
  <c r="Q35" i="3"/>
  <c r="P36" i="3"/>
  <c r="L38" i="3"/>
  <c r="L39" i="3" l="1"/>
  <c r="M37" i="3"/>
  <c r="Q36" i="3"/>
  <c r="N38" i="3"/>
  <c r="N39" i="3" s="1"/>
  <c r="M38" i="3" l="1"/>
  <c r="P37" i="3"/>
  <c r="P38" i="3" s="1"/>
  <c r="L40" i="3"/>
  <c r="L41" i="3" l="1"/>
  <c r="Q37" i="3"/>
  <c r="M39" i="3"/>
  <c r="Q38" i="3"/>
  <c r="N40" i="3"/>
  <c r="N41" i="3" s="1"/>
  <c r="M40" i="3" l="1"/>
  <c r="P39" i="3"/>
  <c r="P40" i="3" s="1"/>
  <c r="O40" i="3"/>
  <c r="L42" i="3"/>
  <c r="O41" i="3"/>
  <c r="L43" i="3" l="1"/>
  <c r="Q39" i="3"/>
  <c r="M41" i="3"/>
  <c r="Q40" i="3"/>
  <c r="N42" i="3"/>
  <c r="N43" i="3" s="1"/>
  <c r="M42" i="3" l="1"/>
  <c r="P41" i="3"/>
  <c r="P42" i="3" s="1"/>
  <c r="O42" i="3"/>
  <c r="L44" i="3"/>
  <c r="O43" i="3"/>
  <c r="L45" i="3" l="1"/>
  <c r="Q41" i="3"/>
  <c r="M43" i="3"/>
  <c r="Q42" i="3"/>
  <c r="N44" i="3"/>
  <c r="N45" i="3" s="1"/>
  <c r="M44" i="3" l="1"/>
  <c r="P43" i="3"/>
  <c r="P44" i="3" s="1"/>
  <c r="O44" i="3"/>
  <c r="L46" i="3"/>
  <c r="O45" i="3"/>
  <c r="L47" i="3" l="1"/>
  <c r="Q43" i="3"/>
  <c r="M45" i="3"/>
  <c r="Q44" i="3"/>
  <c r="N46" i="3"/>
  <c r="N47" i="3" s="1"/>
  <c r="M46" i="3" l="1"/>
  <c r="P45" i="3"/>
  <c r="P46" i="3" s="1"/>
  <c r="O46" i="3"/>
  <c r="L48" i="3"/>
  <c r="O47" i="3"/>
  <c r="L49" i="3" l="1"/>
  <c r="Q45" i="3"/>
  <c r="M47" i="3"/>
  <c r="Q46" i="3"/>
  <c r="N48" i="3"/>
  <c r="N49" i="3" s="1"/>
  <c r="M48" i="3" l="1"/>
  <c r="P47" i="3"/>
  <c r="P48" i="3" s="1"/>
  <c r="O48" i="3"/>
  <c r="L50" i="3"/>
  <c r="O49" i="3"/>
  <c r="L51" i="3" l="1"/>
  <c r="Q47" i="3"/>
  <c r="M49" i="3"/>
  <c r="Q48" i="3"/>
  <c r="N50" i="3"/>
  <c r="N51" i="3" s="1"/>
  <c r="M50" i="3" l="1"/>
  <c r="P49" i="3"/>
  <c r="P50" i="3" s="1"/>
  <c r="O50" i="3"/>
  <c r="L52" i="3"/>
  <c r="O51" i="3"/>
  <c r="L53" i="3" l="1"/>
  <c r="Q49" i="3"/>
  <c r="M51" i="3"/>
  <c r="Q50" i="3"/>
  <c r="N52" i="3"/>
  <c r="N53" i="3" s="1"/>
  <c r="M52" i="3" l="1"/>
  <c r="P51" i="3"/>
  <c r="P52" i="3" s="1"/>
  <c r="O52" i="3"/>
  <c r="L54" i="3"/>
  <c r="O53" i="3"/>
  <c r="L55" i="3" l="1"/>
  <c r="Q51" i="3"/>
  <c r="M53" i="3"/>
  <c r="Q52" i="3"/>
  <c r="N54" i="3"/>
  <c r="N55" i="3" s="1"/>
  <c r="M54" i="3" l="1"/>
  <c r="P53" i="3"/>
  <c r="P54" i="3" s="1"/>
  <c r="O54" i="3"/>
  <c r="L56" i="3"/>
  <c r="O55" i="3"/>
  <c r="L57" i="3" l="1"/>
  <c r="Q53" i="3"/>
  <c r="M55" i="3"/>
  <c r="Q54" i="3"/>
  <c r="N56" i="3"/>
  <c r="N57" i="3" s="1"/>
  <c r="M56" i="3" l="1"/>
  <c r="P55" i="3"/>
  <c r="P56" i="3" s="1"/>
  <c r="O56" i="3"/>
  <c r="L58" i="3"/>
  <c r="O57" i="3"/>
  <c r="L59" i="3" l="1"/>
  <c r="Q55" i="3"/>
  <c r="M57" i="3"/>
  <c r="Q56" i="3"/>
  <c r="N58" i="3"/>
  <c r="N59" i="3" s="1"/>
  <c r="M58" i="3" l="1"/>
  <c r="P57" i="3"/>
  <c r="P58" i="3" s="1"/>
  <c r="O58" i="3"/>
  <c r="L60" i="3"/>
  <c r="O59" i="3"/>
  <c r="L61" i="3" l="1"/>
  <c r="Q57" i="3"/>
  <c r="M59" i="3"/>
  <c r="Q58" i="3"/>
  <c r="N60" i="3"/>
  <c r="N61" i="3" s="1"/>
  <c r="M60" i="3" l="1"/>
  <c r="P59" i="3"/>
  <c r="P60" i="3" s="1"/>
  <c r="O60" i="3"/>
  <c r="L62" i="3"/>
  <c r="O61" i="3"/>
  <c r="C8" i="4" l="1" a="1"/>
  <c r="C8" i="4" s="1"/>
  <c r="C9" i="4" s="1"/>
  <c r="B8" i="4" a="1"/>
  <c r="B8" i="4" s="1"/>
  <c r="B9" i="4" s="1"/>
  <c r="D8" i="4" a="1"/>
  <c r="D8" i="4" s="1"/>
  <c r="D9" i="4" s="1"/>
  <c r="Q59" i="3"/>
  <c r="M61" i="3"/>
  <c r="Q60" i="3"/>
  <c r="N62" i="3"/>
  <c r="O62" i="3" s="1"/>
  <c r="C15" i="4" l="1"/>
  <c r="B15" i="4"/>
  <c r="D15" i="4"/>
  <c r="D11" i="4"/>
  <c r="D8" i="7" s="1"/>
  <c r="B11" i="4"/>
  <c r="B8" i="7" s="1"/>
  <c r="M62" i="3"/>
  <c r="P61" i="3"/>
  <c r="Q61" i="3" s="1"/>
  <c r="C11" i="4"/>
  <c r="C8" i="7" s="1"/>
  <c r="B16" i="6" l="1" a="1"/>
  <c r="B16" i="6" s="1"/>
  <c r="B15" i="6" a="1"/>
  <c r="B15" i="6" s="1"/>
  <c r="E8" i="4" a="1"/>
  <c r="E8" i="4" s="1"/>
  <c r="E9" i="4" s="1"/>
  <c r="G8" i="4" a="1"/>
  <c r="G8" i="4" s="1"/>
  <c r="G9" i="4" s="1"/>
  <c r="F8" i="4" a="1"/>
  <c r="F8" i="4" s="1"/>
  <c r="F9" i="4" s="1"/>
  <c r="P62" i="3"/>
  <c r="Q62" i="3" s="1"/>
  <c r="G15" i="4" s="1"/>
  <c r="F11" i="4" l="1"/>
  <c r="F8" i="7" s="1"/>
  <c r="C12" i="4"/>
  <c r="C14" i="4" s="1"/>
  <c r="G11" i="4"/>
  <c r="G8" i="7" s="1"/>
  <c r="D12" i="4"/>
  <c r="D14" i="4" s="1"/>
  <c r="E11" i="4"/>
  <c r="E8" i="7" s="1"/>
  <c r="B12" i="4"/>
  <c r="B14" i="4" s="1"/>
  <c r="B3" i="6"/>
  <c r="M1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tc={51766648-F6C6-7944-9F52-6302A21BBADE}</author>
    <author>tc={C12AAEAB-BDBA-4A46-935F-B50785381502}</author>
    <author>tc={61286CCE-A470-BA4C-9CFA-3D5B946C58A7}</author>
  </authors>
  <commentList>
    <comment ref="A6" authorId="0" shapeId="0" xr:uid="{51766648-F6C6-7944-9F52-6302A21BBADE}">
      <text>
        <t>[Threaded comment]
Your version of Excel allows you to read this threaded comment; however, any edits to it will get removed if the file is opened in a newer version of Excel. Learn more: https://go.microsoft.com/fwlink/?linkid=870924
Comment:
    Catches a typo in the weights, which would distort every return</t>
      </text>
    </comment>
    <comment ref="A11" authorId="1" shapeId="0" xr:uid="{C12AAEAB-BDBA-4A46-935F-B50785381502}">
      <text>
        <t>[Threaded comment]
Your version of Excel allows you to read this threaded comment; however, any edits to it will get removed if the file is opened in a newer version of Excel. Learn more: https://go.microsoft.com/fwlink/?linkid=870924
Comment:
    Wrong date order makes returns meaningless.</t>
      </text>
    </comment>
    <comment ref="A16" authorId="2" shapeId="0" xr:uid="{61286CCE-A470-BA4C-9CFA-3D5B946C58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Proves the growth index and the monthy returns tell the same story.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<sst xmlns="http://schemas.openxmlformats.org/spreadsheetml/2006/main" count="157" uniqueCount="97">
  <si>
    <t>Date</t>
  </si>
  <si>
    <t>VTI</t>
  </si>
  <si>
    <t>VXUS</t>
  </si>
  <si>
    <t>VNQ</t>
  </si>
  <si>
    <t>BND</t>
  </si>
  <si>
    <t>BNDX</t>
  </si>
  <si>
    <t>SHV</t>
  </si>
  <si>
    <t>VT</t>
  </si>
  <si>
    <t>Asset Class</t>
  </si>
  <si>
    <t>VD</t>
  </si>
  <si>
    <t>Total</t>
  </si>
  <si>
    <t>US Equity</t>
  </si>
  <si>
    <t>Benchmark Weight</t>
  </si>
  <si>
    <t>Portfolio Weight</t>
  </si>
  <si>
    <t>Intl Equity</t>
  </si>
  <si>
    <t>Property</t>
  </si>
  <si>
    <t>Bonds</t>
  </si>
  <si>
    <t>Cash</t>
  </si>
  <si>
    <t>Global Equity</t>
  </si>
  <si>
    <t>Portfolio</t>
  </si>
  <si>
    <t>Benchmark</t>
  </si>
  <si>
    <t>Excess</t>
  </si>
  <si>
    <t>Portfolio Index</t>
  </si>
  <si>
    <t>Benchmark Index</t>
  </si>
  <si>
    <t>Port Peak</t>
  </si>
  <si>
    <t>Port Drawdown</t>
  </si>
  <si>
    <t>Bench Peak</t>
  </si>
  <si>
    <t>Bench Drawdown</t>
  </si>
  <si>
    <t>Port Rolling 12M</t>
  </si>
  <si>
    <t>Bench Rolling 12M</t>
  </si>
  <si>
    <t>Performance and Risk Metrics</t>
  </si>
  <si>
    <t>Risk-Free Rate (annual)</t>
  </si>
  <si>
    <t>Periods</t>
  </si>
  <si>
    <t>Months</t>
  </si>
  <si>
    <t>Cumulative Returns</t>
  </si>
  <si>
    <t>Annualised Returns</t>
  </si>
  <si>
    <t>Volatility</t>
  </si>
  <si>
    <t>Sharpe Ratio</t>
  </si>
  <si>
    <t>Excess Returns (annual)</t>
  </si>
  <si>
    <t>Tracking Error</t>
  </si>
  <si>
    <t>Information Ratio</t>
  </si>
  <si>
    <t>Max Drawdown</t>
  </si>
  <si>
    <t>1Y</t>
  </si>
  <si>
    <t>3Y</t>
  </si>
  <si>
    <t>5Y</t>
  </si>
  <si>
    <t>Class</t>
  </si>
  <si>
    <t>Equity</t>
  </si>
  <si>
    <t>Port Equity</t>
  </si>
  <si>
    <t>Port Property</t>
  </si>
  <si>
    <t>Port Bonds</t>
  </si>
  <si>
    <t>Port Cash</t>
  </si>
  <si>
    <t>Bench Equity</t>
  </si>
  <si>
    <t>Bench Property</t>
  </si>
  <si>
    <t>Bench Bonds</t>
  </si>
  <si>
    <t>Bench Cash</t>
  </si>
  <si>
    <t>Allocation</t>
  </si>
  <si>
    <t>Selection</t>
  </si>
  <si>
    <t>Interaction</t>
  </si>
  <si>
    <t>Total Effect</t>
  </si>
  <si>
    <t>Actual Excess</t>
  </si>
  <si>
    <t>Tie-Out</t>
  </si>
  <si>
    <t>Master Check</t>
  </si>
  <si>
    <t>Model Checks</t>
  </si>
  <si>
    <t>Report Date</t>
  </si>
  <si>
    <t>Overall Status</t>
  </si>
  <si>
    <t>Check</t>
  </si>
  <si>
    <t>Result</t>
  </si>
  <si>
    <t>Portfolio Weights sum to 100</t>
  </si>
  <si>
    <t>Benchmark Weights sum to 100</t>
  </si>
  <si>
    <t>No Negative Weights</t>
  </si>
  <si>
    <t>Risk-free rate is sensible (0% to 15%)</t>
  </si>
  <si>
    <t>Every Price is a number</t>
  </si>
  <si>
    <t>Date runs oldest to newest</t>
  </si>
  <si>
    <t>No missing months</t>
  </si>
  <si>
    <t>No implausible monthy returns</t>
  </si>
  <si>
    <t>Latest data matches report date</t>
  </si>
  <si>
    <t>No error values in calc</t>
  </si>
  <si>
    <t>Index ties to compounded returns</t>
  </si>
  <si>
    <t>Attribution ties to actual excess return</t>
  </si>
  <si>
    <t>Last 12M</t>
  </si>
  <si>
    <t>Full Period</t>
  </si>
  <si>
    <t>Portfolio Performance Report</t>
  </si>
  <si>
    <t>Checks:</t>
  </si>
  <si>
    <t>Annualised Return</t>
  </si>
  <si>
    <t>Max Drawdown (5Y)</t>
  </si>
  <si>
    <t>Name</t>
  </si>
  <si>
    <t>Risk (vol)</t>
  </si>
  <si>
    <t>Return (ann.)</t>
  </si>
  <si>
    <t>In the last 12 months, allocation cost 2.8%, while fund selection added a small 0.2%. The choice of funds within each asset class made little difference.</t>
  </si>
  <si>
    <t>Its risk-adjusted return, measured by the Sharpe ratio, was lower at 0.19 against 0.33, because the lower return outweighed the lower risk.</t>
  </si>
  <si>
    <t>and the trustees should confirm that this level of risk still matches their objectives.</t>
  </si>
  <si>
    <t>Risk. The portfolio was less volatile than the benchmark (9.8% against 11.0% over five years), and its worst peak-to-trough fall was 19.5% against 21.1%.</t>
  </si>
  <si>
    <t>Summary. The portfolio has behaved as a more cautious version of the benchmark. The lower return is the cost of holding less equity,</t>
  </si>
  <si>
    <t xml:space="preserve">Performance. Over the last five years the portfolio returned 4.9% a year, compared with 6.6% for the 60/40 benchmark, a shortfall of about 1.7% a year. </t>
  </si>
  <si>
    <t>Over the last 12 months it returned 6.5% against 9.2%.</t>
  </si>
  <si>
    <t xml:space="preserve">What drove it. The shortfall came almost entirely from asset allocation. The portfolio held about 40% in equities against the benchmark’s 60%, </t>
  </si>
  <si>
    <t>and equities outperformed bonds over the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</si>
</sst>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  <family val="2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2" borderId="0" xfId="0" applyNumberFormat="1" applyFont="1" applyFill="1"/>
    <xf numFmtId="9" fontId="5" fillId="0" borderId="0" xfId="0" applyNumberFormat="1" applyFont="1"/>
    <xf numFmtId="17" fontId="5" fillId="0" borderId="0" xfId="0" applyNumberFormat="1" applyFont="1"/>
    <xf numFmtId="0" fontId="6" fillId="0" borderId="0" xfId="0" applyFont="1" applyAlignment="1">
      <alignment horizontal="center"/>
    </xf>
    <xf numFmtId="10" fontId="5" fillId="2" borderId="0" xfId="0" applyNumberFormat="1" applyFont="1" applyFill="1"/>
    <xf numFmtId="0" fontId="6" fillId="0" borderId="0" xfId="0" applyFont="1" applyAlignment="1">
      <alignment horizontal="center" vertical="center"/>
    </xf>
    <xf numFmtId="17" fontId="7" fillId="0" borderId="0" xfId="0" applyNumberFormat="1" applyFont="1"/>
    <xf numFmtId="164" fontId="6" fillId="0" borderId="0" xfId="0" applyNumberFormat="1" applyFont="1" applyAlignment="1">
      <alignment horizontal="center"/>
    </xf>
    <xf numFmtId="164" fontId="5" fillId="0" borderId="0" xfId="0" applyNumberFormat="1" applyFont="1"/>
    <xf numFmtId="10" fontId="5" fillId="0" borderId="0" xfId="0" applyNumberFormat="1" applyFon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Growth of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3528990694345014E-2"/>
          <c:y val="0.11202941176470591"/>
          <c:w val="0.82287998091147696"/>
          <c:h val="0.77276956924502083"/>
        </c:manualLayout>
      </c:layout>
      <c:lineChart>
        <c:grouping val="stacked"/>
        <c:varyColors val="0"/>
        <c:ser>
          <c:idx val="0"/>
          <c:order val="0"/>
          <c:tx>
            <c:v>Portfolio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Calc!$A$2:$A$62</c:f>
              <c:numCache>
                <c:formatCode>mmm\-yy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  <c:pt idx="53">
                  <c:v>46054</c:v>
                </c:pt>
                <c:pt idx="54">
                  <c:v>46082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46235</c:v>
                </c:pt>
                <c:pt idx="60">
                  <c:v>46266</c:v>
                </c:pt>
              </c:numCache>
            </c:numRef>
          </c:cat>
          <c:val>
            <c:numRef>
              <c:f>Calc!$L$2:$L$62</c:f>
              <c:numCache>
                <c:formatCode>General</c:formatCode>
                <c:ptCount val="61"/>
                <c:pt idx="0">
                  <c:v>100</c:v>
                </c:pt>
                <c:pt idx="1">
                  <c:v>102.77002887489621</c:v>
                </c:pt>
                <c:pt idx="2">
                  <c:v>101.74554619493408</c:v>
                </c:pt>
                <c:pt idx="3">
                  <c:v>104.03568702293479</c:v>
                </c:pt>
                <c:pt idx="4">
                  <c:v>100.27793965295974</c:v>
                </c:pt>
                <c:pt idx="5">
                  <c:v>98.343521483973376</c:v>
                </c:pt>
                <c:pt idx="6">
                  <c:v>98.576762139501895</c:v>
                </c:pt>
                <c:pt idx="7">
                  <c:v>93.343172290469369</c:v>
                </c:pt>
                <c:pt idx="8">
                  <c:v>93.201379902190183</c:v>
                </c:pt>
                <c:pt idx="9">
                  <c:v>88.77040228669533</c:v>
                </c:pt>
                <c:pt idx="10">
                  <c:v>93.161371931663282</c:v>
                </c:pt>
                <c:pt idx="11">
                  <c:v>89.825924945485397</c:v>
                </c:pt>
                <c:pt idx="12">
                  <c:v>83.746439416726759</c:v>
                </c:pt>
                <c:pt idx="13">
                  <c:v>85.950826711824575</c:v>
                </c:pt>
                <c:pt idx="14">
                  <c:v>90.543764655257547</c:v>
                </c:pt>
                <c:pt idx="15">
                  <c:v>87.896405287073009</c:v>
                </c:pt>
                <c:pt idx="16">
                  <c:v>92.676358928738509</c:v>
                </c:pt>
                <c:pt idx="17">
                  <c:v>90.046697304898757</c:v>
                </c:pt>
                <c:pt idx="18">
                  <c:v>91.936477974215336</c:v>
                </c:pt>
                <c:pt idx="19">
                  <c:v>92.677970265565108</c:v>
                </c:pt>
                <c:pt idx="20">
                  <c:v>91.634198748424907</c:v>
                </c:pt>
                <c:pt idx="21">
                  <c:v>94.262360223591244</c:v>
                </c:pt>
                <c:pt idx="22">
                  <c:v>95.833693898046747</c:v>
                </c:pt>
                <c:pt idx="23">
                  <c:v>94.27885602285447</c:v>
                </c:pt>
                <c:pt idx="24">
                  <c:v>91.051356065532616</c:v>
                </c:pt>
                <c:pt idx="25">
                  <c:v>89.244884297539741</c:v>
                </c:pt>
                <c:pt idx="26">
                  <c:v>95.224513786490476</c:v>
                </c:pt>
                <c:pt idx="27">
                  <c:v>99.610284842743852</c:v>
                </c:pt>
                <c:pt idx="28">
                  <c:v>99.012714769675313</c:v>
                </c:pt>
                <c:pt idx="29">
                  <c:v>100.48755568770962</c:v>
                </c:pt>
                <c:pt idx="30">
                  <c:v>102.43600633835285</c:v>
                </c:pt>
                <c:pt idx="31">
                  <c:v>99.216511861503378</c:v>
                </c:pt>
                <c:pt idx="32">
                  <c:v>102.01377109155359</c:v>
                </c:pt>
                <c:pt idx="33">
                  <c:v>103.25649490227592</c:v>
                </c:pt>
                <c:pt idx="34">
                  <c:v>106.05276634772629</c:v>
                </c:pt>
                <c:pt idx="35">
                  <c:v>108.12352847837207</c:v>
                </c:pt>
                <c:pt idx="36">
                  <c:v>110.10224994212791</c:v>
                </c:pt>
                <c:pt idx="37">
                  <c:v>107.87747813282319</c:v>
                </c:pt>
                <c:pt idx="38">
                  <c:v>110.74252153020534</c:v>
                </c:pt>
                <c:pt idx="39">
                  <c:v>107.83263626246676</c:v>
                </c:pt>
                <c:pt idx="40">
                  <c:v>109.6270305941743</c:v>
                </c:pt>
                <c:pt idx="41">
                  <c:v>110.69141157972606</c:v>
                </c:pt>
                <c:pt idx="42">
                  <c:v>108.67374039098658</c:v>
                </c:pt>
                <c:pt idx="43">
                  <c:v>109.09932709792334</c:v>
                </c:pt>
                <c:pt idx="44">
                  <c:v>111.51451649464647</c:v>
                </c:pt>
                <c:pt idx="45">
                  <c:v>114.27581206128767</c:v>
                </c:pt>
                <c:pt idx="46">
                  <c:v>114.6947196308774</c:v>
                </c:pt>
                <c:pt idx="47">
                  <c:v>116.94121107643772</c:v>
                </c:pt>
                <c:pt idx="48">
                  <c:v>119.0507580299972</c:v>
                </c:pt>
                <c:pt idx="49">
                  <c:v>120.11529025418677</c:v>
                </c:pt>
                <c:pt idx="50">
                  <c:v>120.76105385848328</c:v>
                </c:pt>
                <c:pt idx="51">
                  <c:v>120.75846711527885</c:v>
                </c:pt>
                <c:pt idx="52">
                  <c:v>122.75208445906385</c:v>
                </c:pt>
                <c:pt idx="53">
                  <c:v>125.09824752245416</c:v>
                </c:pt>
                <c:pt idx="54">
                  <c:v>120.22493154964275</c:v>
                </c:pt>
                <c:pt idx="55">
                  <c:v>125.89092026713406</c:v>
                </c:pt>
                <c:pt idx="56">
                  <c:v>128.39925350594092</c:v>
                </c:pt>
                <c:pt idx="57">
                  <c:v>128.65277275150169</c:v>
                </c:pt>
                <c:pt idx="58">
                  <c:v>127.93531979157113</c:v>
                </c:pt>
                <c:pt idx="59">
                  <c:v>129.21059146760996</c:v>
                </c:pt>
                <c:pt idx="60">
                  <c:v>126.83046611669437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29-A24F-8846-A25DD2FF8282}"/>
            </c:ext>
          </c:extLst>
        </c:ser>
        <c:ser>
          <c:idx val="1"/>
          <c:order val="1"/>
          <c:tx>
            <c:v>Benchmark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Calc!$A$2:$A$62</c:f>
              <c:numCache>
                <c:formatCode>mmm\-yy</c:formatCode>
                <c:ptCount val="61"/>
                <c:pt idx="0">
                  <c:v>44440</c:v>
                </c:pt>
                <c:pt idx="1">
                  <c:v>44470</c:v>
                </c:pt>
                <c:pt idx="2">
                  <c:v>44501</c:v>
                </c:pt>
                <c:pt idx="3">
                  <c:v>44531</c:v>
                </c:pt>
                <c:pt idx="4">
                  <c:v>44562</c:v>
                </c:pt>
                <c:pt idx="5">
                  <c:v>44593</c:v>
                </c:pt>
                <c:pt idx="6">
                  <c:v>44621</c:v>
                </c:pt>
                <c:pt idx="7">
                  <c:v>44652</c:v>
                </c:pt>
                <c:pt idx="8">
                  <c:v>44682</c:v>
                </c:pt>
                <c:pt idx="9">
                  <c:v>44713</c:v>
                </c:pt>
                <c:pt idx="10">
                  <c:v>44743</c:v>
                </c:pt>
                <c:pt idx="11">
                  <c:v>44774</c:v>
                </c:pt>
                <c:pt idx="12">
                  <c:v>44805</c:v>
                </c:pt>
                <c:pt idx="13">
                  <c:v>44835</c:v>
                </c:pt>
                <c:pt idx="14">
                  <c:v>44866</c:v>
                </c:pt>
                <c:pt idx="15">
                  <c:v>44896</c:v>
                </c:pt>
                <c:pt idx="16">
                  <c:v>44927</c:v>
                </c:pt>
                <c:pt idx="17">
                  <c:v>44958</c:v>
                </c:pt>
                <c:pt idx="18">
                  <c:v>44986</c:v>
                </c:pt>
                <c:pt idx="19">
                  <c:v>45017</c:v>
                </c:pt>
                <c:pt idx="20">
                  <c:v>45047</c:v>
                </c:pt>
                <c:pt idx="21">
                  <c:v>45078</c:v>
                </c:pt>
                <c:pt idx="22">
                  <c:v>45108</c:v>
                </c:pt>
                <c:pt idx="23">
                  <c:v>45139</c:v>
                </c:pt>
                <c:pt idx="24">
                  <c:v>45170</c:v>
                </c:pt>
                <c:pt idx="25">
                  <c:v>45200</c:v>
                </c:pt>
                <c:pt idx="26">
                  <c:v>45231</c:v>
                </c:pt>
                <c:pt idx="27">
                  <c:v>45261</c:v>
                </c:pt>
                <c:pt idx="28">
                  <c:v>45292</c:v>
                </c:pt>
                <c:pt idx="29">
                  <c:v>45323</c:v>
                </c:pt>
                <c:pt idx="30">
                  <c:v>45352</c:v>
                </c:pt>
                <c:pt idx="31">
                  <c:v>45383</c:v>
                </c:pt>
                <c:pt idx="32">
                  <c:v>45413</c:v>
                </c:pt>
                <c:pt idx="33">
                  <c:v>45444</c:v>
                </c:pt>
                <c:pt idx="34">
                  <c:v>45474</c:v>
                </c:pt>
                <c:pt idx="35">
                  <c:v>45505</c:v>
                </c:pt>
                <c:pt idx="36">
                  <c:v>45536</c:v>
                </c:pt>
                <c:pt idx="37">
                  <c:v>45566</c:v>
                </c:pt>
                <c:pt idx="38">
                  <c:v>45597</c:v>
                </c:pt>
                <c:pt idx="39">
                  <c:v>45627</c:v>
                </c:pt>
                <c:pt idx="40">
                  <c:v>45658</c:v>
                </c:pt>
                <c:pt idx="41">
                  <c:v>45689</c:v>
                </c:pt>
                <c:pt idx="42">
                  <c:v>45717</c:v>
                </c:pt>
                <c:pt idx="43">
                  <c:v>45748</c:v>
                </c:pt>
                <c:pt idx="44">
                  <c:v>45778</c:v>
                </c:pt>
                <c:pt idx="45">
                  <c:v>45809</c:v>
                </c:pt>
                <c:pt idx="46">
                  <c:v>45839</c:v>
                </c:pt>
                <c:pt idx="47">
                  <c:v>45870</c:v>
                </c:pt>
                <c:pt idx="48">
                  <c:v>45901</c:v>
                </c:pt>
                <c:pt idx="49">
                  <c:v>45931</c:v>
                </c:pt>
                <c:pt idx="50">
                  <c:v>45962</c:v>
                </c:pt>
                <c:pt idx="51">
                  <c:v>45992</c:v>
                </c:pt>
                <c:pt idx="52">
                  <c:v>46023</c:v>
                </c:pt>
                <c:pt idx="53">
                  <c:v>46054</c:v>
                </c:pt>
                <c:pt idx="54">
                  <c:v>46082</c:v>
                </c:pt>
                <c:pt idx="55">
                  <c:v>46113</c:v>
                </c:pt>
                <c:pt idx="56">
                  <c:v>46143</c:v>
                </c:pt>
                <c:pt idx="57">
                  <c:v>46174</c:v>
                </c:pt>
                <c:pt idx="58">
                  <c:v>46204</c:v>
                </c:pt>
                <c:pt idx="59">
                  <c:v>46235</c:v>
                </c:pt>
                <c:pt idx="60">
                  <c:v>46266</c:v>
                </c:pt>
              </c:numCache>
            </c:numRef>
          </c:cat>
          <c:val>
            <c:numRef>
              <c:f>Calc!$M$2:$M$62</c:f>
              <c:numCache>
                <c:formatCode>General</c:formatCode>
                <c:ptCount val="61"/>
                <c:pt idx="0">
                  <c:v>100</c:v>
                </c:pt>
                <c:pt idx="1">
                  <c:v>103.11562174261142</c:v>
                </c:pt>
                <c:pt idx="2">
                  <c:v>101.58185970855328</c:v>
                </c:pt>
                <c:pt idx="3">
                  <c:v>103.77544505024299</c:v>
                </c:pt>
                <c:pt idx="4">
                  <c:v>100.06673296845419</c:v>
                </c:pt>
                <c:pt idx="5">
                  <c:v>97.947807485466384</c:v>
                </c:pt>
                <c:pt idx="6">
                  <c:v>97.97759236588422</c:v>
                </c:pt>
                <c:pt idx="7">
                  <c:v>91.661548722975894</c:v>
                </c:pt>
                <c:pt idx="8">
                  <c:v>92.237547486591353</c:v>
                </c:pt>
                <c:pt idx="9">
                  <c:v>87.129564170295737</c:v>
                </c:pt>
                <c:pt idx="10">
                  <c:v>91.610643238502831</c:v>
                </c:pt>
                <c:pt idx="11">
                  <c:v>88.357976690823762</c:v>
                </c:pt>
                <c:pt idx="12">
                  <c:v>81.827814979828148</c:v>
                </c:pt>
                <c:pt idx="13">
                  <c:v>84.579656103741584</c:v>
                </c:pt>
                <c:pt idx="14">
                  <c:v>90.023183662711048</c:v>
                </c:pt>
                <c:pt idx="15">
                  <c:v>87.336125416342512</c:v>
                </c:pt>
                <c:pt idx="16">
                  <c:v>92.500067827498285</c:v>
                </c:pt>
                <c:pt idx="17">
                  <c:v>89.748983417677465</c:v>
                </c:pt>
                <c:pt idx="18">
                  <c:v>92.244357861768194</c:v>
                </c:pt>
                <c:pt idx="19">
                  <c:v>93.248626556587624</c:v>
                </c:pt>
                <c:pt idx="20">
                  <c:v>92.137630748527016</c:v>
                </c:pt>
                <c:pt idx="21">
                  <c:v>95.265979053596524</c:v>
                </c:pt>
                <c:pt idx="22">
                  <c:v>97.348496738346327</c:v>
                </c:pt>
                <c:pt idx="23">
                  <c:v>95.430647636766793</c:v>
                </c:pt>
                <c:pt idx="24">
                  <c:v>92.048027962462712</c:v>
                </c:pt>
                <c:pt idx="25">
                  <c:v>89.876069406922028</c:v>
                </c:pt>
                <c:pt idx="26">
                  <c:v>96.367154230813412</c:v>
                </c:pt>
                <c:pt idx="27">
                  <c:v>100.71971924073767</c:v>
                </c:pt>
                <c:pt idx="28">
                  <c:v>100.65397402257193</c:v>
                </c:pt>
                <c:pt idx="29">
                  <c:v>102.81720055443482</c:v>
                </c:pt>
                <c:pt idx="30">
                  <c:v>105.13405885101881</c:v>
                </c:pt>
                <c:pt idx="31">
                  <c:v>101.86064670145969</c:v>
                </c:pt>
                <c:pt idx="32">
                  <c:v>105.35621435785002</c:v>
                </c:pt>
                <c:pt idx="33">
                  <c:v>106.72995352053819</c:v>
                </c:pt>
                <c:pt idx="34">
                  <c:v>109.00291399608125</c:v>
                </c:pt>
                <c:pt idx="35">
                  <c:v>111.16185683973077</c:v>
                </c:pt>
                <c:pt idx="36">
                  <c:v>113.21225957098444</c:v>
                </c:pt>
                <c:pt idx="37">
                  <c:v>110.6190981974795</c:v>
                </c:pt>
                <c:pt idx="38">
                  <c:v>113.84100710401002</c:v>
                </c:pt>
                <c:pt idx="39">
                  <c:v>111.06986171746749</c:v>
                </c:pt>
                <c:pt idx="40">
                  <c:v>113.37199086199709</c:v>
                </c:pt>
                <c:pt idx="41">
                  <c:v>114.0690506990906</c:v>
                </c:pt>
                <c:pt idx="42">
                  <c:v>111.66708207103366</c:v>
                </c:pt>
                <c:pt idx="43">
                  <c:v>112.21961309444589</c:v>
                </c:pt>
                <c:pt idx="44">
                  <c:v>115.82635095603079</c:v>
                </c:pt>
                <c:pt idx="45">
                  <c:v>119.77664730217521</c:v>
                </c:pt>
                <c:pt idx="46">
                  <c:v>120.43780824190659</c:v>
                </c:pt>
                <c:pt idx="47">
                  <c:v>123.12947161302496</c:v>
                </c:pt>
                <c:pt idx="48">
                  <c:v>126.16449027064209</c:v>
                </c:pt>
                <c:pt idx="49">
                  <c:v>128.00143473467961</c:v>
                </c:pt>
                <c:pt idx="50">
                  <c:v>128.47112192197639</c:v>
                </c:pt>
                <c:pt idx="51">
                  <c:v>129.02751058129797</c:v>
                </c:pt>
                <c:pt idx="52">
                  <c:v>131.54832360547863</c:v>
                </c:pt>
                <c:pt idx="53">
                  <c:v>133.68804774988908</c:v>
                </c:pt>
                <c:pt idx="54">
                  <c:v>127.77005429656384</c:v>
                </c:pt>
                <c:pt idx="55">
                  <c:v>134.98522986749342</c:v>
                </c:pt>
                <c:pt idx="56">
                  <c:v>138.84084207216716</c:v>
                </c:pt>
                <c:pt idx="57">
                  <c:v>138.67258940607087</c:v>
                </c:pt>
                <c:pt idx="58">
                  <c:v>137.38514471308179</c:v>
                </c:pt>
                <c:pt idx="59">
                  <c:v>140.06561166784542</c:v>
                </c:pt>
                <c:pt idx="60">
                  <c:v>137.81200711736636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29-A24F-8846-A25DD2FF8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699327"/>
        <c:axId val="1018630527"/>
      </c:lineChart>
      <c:dateAx>
        <c:axId val="101869932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630527"/>
        <c:crosses val="autoZero"/>
        <c:auto val="1"/>
        <c:lblOffset val="100"/>
        <c:baseTimeUnit val="months"/>
      </c:dateAx>
      <c:valAx>
        <c:axId val="101863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69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42877594846098"/>
          <c:y val="0.35344071329319127"/>
          <c:w val="0.10082538342791776"/>
          <c:h val="8.96347702299924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>
                <a:latin typeface="Times New Roman" panose="02020603050405020304" pitchFamily="18" charset="0"/>
                <a:cs typeface="Times New Roman" panose="02020603050405020304" pitchFamily="18" charset="0"/>
              </a:rPr>
              <a:t>Asset</a:t>
            </a:r>
            <a:r>
              <a:rPr lang="en-GB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Allocation</a:t>
            </a:r>
            <a:endParaRPr lang="en-GB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Attribution!$A$4</c:f>
              <c:strCache>
                <c:ptCount val="1"/>
                <c:pt idx="0">
                  <c:v>Portfolio 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Attribution!$B$3:$E$3</c:f>
              <c:strCache>
                <c:ptCount val="4"/>
                <c:pt idx="0">
                  <c:v>Equity</c:v>
                </c:pt>
                <c:pt idx="1">
                  <c:v>Property</c:v>
                </c:pt>
                <c:pt idx="2">
                  <c:v>Bonds</c:v>
                </c:pt>
                <c:pt idx="3">
                  <c:v>Cash</c:v>
                </c:pt>
              </c:strCache>
            </c:strRef>
          </c:cat>
          <c:val>
            <c:numRef>
              <c:f>Attribution!$B$4:$E$4</c:f>
              <c:numCache>
                <c:formatCode>0%</c:formatCode>
                <c:ptCount val="4"/>
                <c:pt idx="0">
                  <c:v>0.4</c:v>
                </c:pt>
                <c:pt idx="1">
                  <c:v>0.1</c:v>
                </c:pt>
                <c:pt idx="2">
                  <c:v>0.44999999999999996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3-8A48-BB18-ED26F214028D}"/>
            </c:ext>
          </c:extLst>
        </c:ser>
        <c:ser>
          <c:idx val="1"/>
          <c:order val="1"/>
          <c:tx>
            <c:strRef>
              <c:f>Attribution!$A$5</c:f>
              <c:strCache>
                <c:ptCount val="1"/>
                <c:pt idx="0">
                  <c:v>Benchmark Weight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Attribution!$B$3:$E$3</c:f>
              <c:strCache>
                <c:ptCount val="4"/>
                <c:pt idx="0">
                  <c:v>Equity</c:v>
                </c:pt>
                <c:pt idx="1">
                  <c:v>Property</c:v>
                </c:pt>
                <c:pt idx="2">
                  <c:v>Bonds</c:v>
                </c:pt>
                <c:pt idx="3">
                  <c:v>Cash</c:v>
                </c:pt>
              </c:strCache>
            </c:strRef>
          </c:cat>
          <c:val>
            <c:numRef>
              <c:f>Attribution!$B$5:$E$5</c:f>
              <c:numCache>
                <c:formatCode>0%</c:formatCode>
                <c:ptCount val="4"/>
                <c:pt idx="0">
                  <c:v>0.6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3-8A48-BB18-ED26F2140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873472"/>
        <c:axId val="327544736"/>
      </c:barChart>
      <c:catAx>
        <c:axId val="32787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544736"/>
        <c:crosses val="autoZero"/>
        <c:auto val="1"/>
        <c:lblAlgn val="ctr"/>
        <c:lblOffset val="100"/>
        <c:noMultiLvlLbl val="0"/>
      </c:catAx>
      <c:valAx>
        <c:axId val="327544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7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Risk vs</a:t>
            </a:r>
            <a:r>
              <a:rPr lang="en-GB" baseline="0"/>
              <a:t> Return (5Y)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Annulised Returns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Metrics!$A$19:$A$27</c:f>
              <c:strCache>
                <c:ptCount val="9"/>
                <c:pt idx="0">
                  <c:v>VTI</c:v>
                </c:pt>
                <c:pt idx="1">
                  <c:v>VXUS</c:v>
                </c:pt>
                <c:pt idx="2">
                  <c:v>VNQ</c:v>
                </c:pt>
                <c:pt idx="3">
                  <c:v>BND</c:v>
                </c:pt>
                <c:pt idx="4">
                  <c:v>BNDX</c:v>
                </c:pt>
                <c:pt idx="5">
                  <c:v>SHV</c:v>
                </c:pt>
                <c:pt idx="6">
                  <c:v>VTI</c:v>
                </c:pt>
                <c:pt idx="7">
                  <c:v>Portfolio</c:v>
                </c:pt>
                <c:pt idx="8">
                  <c:v>Benchmark</c:v>
                </c:pt>
              </c:strCache>
            </c:strRef>
          </c:xVal>
          <c:yVal>
            <c:numRef>
              <c:f>Metrics!$B$19:$B$27</c:f>
              <c:numCache>
                <c:formatCode>0.00%</c:formatCode>
                <c:ptCount val="9"/>
                <c:pt idx="0">
                  <c:v>0.15931095583400232</c:v>
                </c:pt>
                <c:pt idx="1">
                  <c:v>0.15139006757631801</c:v>
                </c:pt>
                <c:pt idx="2">
                  <c:v>0.19130698313004293</c:v>
                </c:pt>
                <c:pt idx="3">
                  <c:v>6.4461536640404715E-2</c:v>
                </c:pt>
                <c:pt idx="4">
                  <c:v>5.3424772080894405E-2</c:v>
                </c:pt>
                <c:pt idx="5">
                  <c:v>5.7043519613635607E-3</c:v>
                </c:pt>
                <c:pt idx="6">
                  <c:v>0.14905732503126407</c:v>
                </c:pt>
                <c:pt idx="7">
                  <c:v>9.8145804846844528E-2</c:v>
                </c:pt>
                <c:pt idx="8">
                  <c:v>0.10946569629772615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2-6342-A85A-CCCEB6D47ED9}"/>
            </c:ext>
          </c:extLst>
        </c:ser>
        <c:ser>
          <c:idx val="1"/>
          <c:order val="1"/>
          <c:tx>
            <c:v>Volatility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Metrics!$A$19:$A$27</c:f>
              <c:strCache>
                <c:ptCount val="9"/>
                <c:pt idx="0">
                  <c:v>VTI</c:v>
                </c:pt>
                <c:pt idx="1">
                  <c:v>VXUS</c:v>
                </c:pt>
                <c:pt idx="2">
                  <c:v>VNQ</c:v>
                </c:pt>
                <c:pt idx="3">
                  <c:v>BND</c:v>
                </c:pt>
                <c:pt idx="4">
                  <c:v>BNDX</c:v>
                </c:pt>
                <c:pt idx="5">
                  <c:v>SHV</c:v>
                </c:pt>
                <c:pt idx="6">
                  <c:v>VTI</c:v>
                </c:pt>
                <c:pt idx="7">
                  <c:v>Portfolio</c:v>
                </c:pt>
                <c:pt idx="8">
                  <c:v>Benchmark</c:v>
                </c:pt>
              </c:strCache>
            </c:strRef>
          </c:xVal>
          <c:yVal>
            <c:numRef>
              <c:f>Metrics!$C$19:$C$27</c:f>
              <c:numCache>
                <c:formatCode>0.00%</c:formatCode>
                <c:ptCount val="9"/>
                <c:pt idx="0">
                  <c:v>0.12617984623029743</c:v>
                </c:pt>
                <c:pt idx="1">
                  <c:v>9.5149995264648179E-2</c:v>
                </c:pt>
                <c:pt idx="2">
                  <c:v>1.5617473064943432E-2</c:v>
                </c:pt>
                <c:pt idx="3">
                  <c:v>-6.0312968019955449E-3</c:v>
                </c:pt>
                <c:pt idx="4">
                  <c:v>-4.8511884369817349E-4</c:v>
                </c:pt>
                <c:pt idx="5">
                  <c:v>3.5524034379971647E-2</c:v>
                </c:pt>
                <c:pt idx="6">
                  <c:v>0.11436061441929191</c:v>
                </c:pt>
                <c:pt idx="7">
                  <c:v>4.8684182980519353E-2</c:v>
                </c:pt>
                <c:pt idx="8">
                  <c:v>6.6245991772325263E-2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2-6342-A85A-CCCEB6D47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763903"/>
        <c:axId val="1005023391"/>
      </c:scatterChart>
      <c:valAx>
        <c:axId val="1004763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Volatility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5023391"/>
        <c:crosses val="autoZero"/>
        <c:crossBetween val="midCat"/>
      </c:valAx>
      <c:valAx>
        <c:axId val="1005023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7639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10</xdr:row>
      <xdr:rowOff>101600</xdr:rowOff>
    </xdr:from>
    <xdr:to>
      <xdr:col>9</xdr:col>
      <xdr:colOff>0</xdr:colOff>
      <xdr:row>33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C814AA-0E9B-6559-2DB9-73D524667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10</xdr:row>
      <xdr:rowOff>101600</xdr:rowOff>
    </xdr:from>
    <xdr:to>
      <xdr:col>19</xdr:col>
      <xdr:colOff>12700</xdr:colOff>
      <xdr:row>33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CD0CC5-4818-6F4E-ABBF-182F1083C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25400</xdr:colOff>
      <xdr:row>34</xdr:row>
      <xdr:rowOff>38100</xdr:rowOff>
    </xdr:from>
    <xdr:to>
      <xdr:col>8</xdr:col>
      <xdr:colOff>965200</xdr:colOff>
      <xdr:row>58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46F85A-8276-9843-851E-4BD05415D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iden Liu" id="{E54DCCB0-4BEE-044F-9D8D-7C87B891323C}" userId="63b20c69a1a8dbe1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10-20T19:35:12.54" personId="{E54DCCB0-4BEE-044F-9D8D-7C87B891323C}" id="{51766648-F6C6-7944-9F52-6302A21BBADE}">
    <text>Catches a typo in the weights, which would distort every return</text>
  </threadedComment>
  <threadedComment ref="A11" dT="2026-10-20T19:34:09.86" personId="{E54DCCB0-4BEE-044F-9D8D-7C87B891323C}" id="{C12AAEAB-BDBA-4A46-935F-B50785381502}">
    <text>Wrong date order makes returns meaningless.</text>
  </threadedComment>
  <threadedComment ref="A16" dT="2026-10-20T19:34:43.36" personId="{E54DCCB0-4BEE-044F-9D8D-7C87B891323C}" id="{61286CCE-A470-BA4C-9CFA-3D5B946C58A7}">
    <text>Proves the growth index and the monthy returns tell the same story.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5"/>
  <sheetViews>
    <sheetView workbookViewId="0">
      <selection activeCell="C87" sqref="C87"/>
    </sheetView>
  </sheetViews>
  <sheetFormatPr baseColWidth="10" defaultColWidth="8.83203125" defaultRowHeight="15" x14ac:dyDescent="0.2"/>
  <cols>
    <col min="1" max="1" width="20.6640625" style="3" customWidth="1"/>
  </cols>
  <sheetData>
    <row r="1" spans="1:9" s="1" customFormat="1" x14ac:dyDescent="0.2">
      <c r="A1" s="16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/>
    </row>
    <row r="2" spans="1:9" x14ac:dyDescent="0.2">
      <c r="A2" s="17">
        <v>44440</v>
      </c>
      <c r="B2" s="7">
        <v>207.15409851074219</v>
      </c>
      <c r="C2" s="7">
        <v>54.2874755859375</v>
      </c>
      <c r="D2" s="7">
        <v>83.780258178710938</v>
      </c>
      <c r="E2" s="7">
        <v>72.12982177734375</v>
      </c>
      <c r="F2" s="7">
        <v>46.859577178955078</v>
      </c>
      <c r="G2" s="7">
        <v>92.392196655273438</v>
      </c>
      <c r="H2" s="7">
        <v>92.2069091796875</v>
      </c>
      <c r="I2" s="7"/>
    </row>
    <row r="3" spans="1:9" x14ac:dyDescent="0.2">
      <c r="A3" s="17">
        <v>44470</v>
      </c>
      <c r="B3" s="7">
        <v>221.0072937011719</v>
      </c>
      <c r="C3" s="7">
        <v>55.849323272705078</v>
      </c>
      <c r="D3" s="7">
        <v>89.756324768066406</v>
      </c>
      <c r="E3" s="7">
        <v>72.180534362792969</v>
      </c>
      <c r="F3" s="7">
        <v>46.652126312255859</v>
      </c>
      <c r="G3" s="7">
        <v>92.367149353027344</v>
      </c>
      <c r="H3" s="7">
        <v>96.95172119140625</v>
      </c>
      <c r="I3" s="7"/>
    </row>
    <row r="4" spans="1:9" x14ac:dyDescent="0.2">
      <c r="A4" s="17">
        <v>44501</v>
      </c>
      <c r="B4" s="7">
        <v>217.77952575683591</v>
      </c>
      <c r="C4" s="7">
        <v>53.472206115722663</v>
      </c>
      <c r="D4" s="7">
        <v>87.863075256347656</v>
      </c>
      <c r="E4" s="7">
        <v>72.327873229980469</v>
      </c>
      <c r="F4" s="7">
        <v>47.14556884765625</v>
      </c>
      <c r="G4" s="7">
        <v>92.325309753417969</v>
      </c>
      <c r="H4" s="7">
        <v>94.41632080078125</v>
      </c>
      <c r="I4" s="7"/>
    </row>
    <row r="5" spans="1:9" x14ac:dyDescent="0.2">
      <c r="A5" s="17">
        <v>44531</v>
      </c>
      <c r="B5" s="7">
        <v>226.03997802734381</v>
      </c>
      <c r="C5" s="7">
        <v>55.382423400878913</v>
      </c>
      <c r="D5" s="7">
        <v>96.390701293945312</v>
      </c>
      <c r="E5" s="7">
        <v>72.103424072265625</v>
      </c>
      <c r="F5" s="7">
        <v>46.793289184570312</v>
      </c>
      <c r="G5" s="7">
        <v>92.350418090820312</v>
      </c>
      <c r="H5" s="7">
        <v>98.009735107421875</v>
      </c>
      <c r="I5" s="7"/>
    </row>
    <row r="6" spans="1:9" x14ac:dyDescent="0.2">
      <c r="A6" s="17">
        <v>44562</v>
      </c>
      <c r="B6" s="7">
        <v>212.3431396484375</v>
      </c>
      <c r="C6" s="7">
        <v>53.814266204833977</v>
      </c>
      <c r="D6" s="7">
        <v>88.272987365722656</v>
      </c>
      <c r="E6" s="7">
        <v>70.61456298828125</v>
      </c>
      <c r="F6" s="7">
        <v>46.148563385009773</v>
      </c>
      <c r="G6" s="7">
        <v>92.275154113769531</v>
      </c>
      <c r="H6" s="7">
        <v>93.521171569824219</v>
      </c>
      <c r="I6" s="7"/>
    </row>
    <row r="7" spans="1:9" x14ac:dyDescent="0.2">
      <c r="A7" s="17">
        <v>44593</v>
      </c>
      <c r="B7" s="7">
        <v>207.0628967285156</v>
      </c>
      <c r="C7" s="7">
        <v>52.280937194824219</v>
      </c>
      <c r="D7" s="7">
        <v>85.198715209960938</v>
      </c>
      <c r="E7" s="7">
        <v>69.810920715332031</v>
      </c>
      <c r="F7" s="7">
        <v>45.568645477294922</v>
      </c>
      <c r="G7" s="7">
        <v>92.241683959960938</v>
      </c>
      <c r="H7" s="7">
        <v>90.930191040039062</v>
      </c>
      <c r="I7" s="7"/>
    </row>
    <row r="8" spans="1:9" x14ac:dyDescent="0.2">
      <c r="A8" s="17">
        <v>44621</v>
      </c>
      <c r="B8" s="7">
        <v>213.81300354003909</v>
      </c>
      <c r="C8" s="7">
        <v>52.132595062255859</v>
      </c>
      <c r="D8" s="7">
        <v>90.535514831542969</v>
      </c>
      <c r="E8" s="7">
        <v>67.8896484375</v>
      </c>
      <c r="F8" s="7">
        <v>44.553375244140618</v>
      </c>
      <c r="G8" s="7">
        <v>92.208221435546875</v>
      </c>
      <c r="H8" s="7">
        <v>92.644607543945312</v>
      </c>
      <c r="I8" s="7"/>
    </row>
    <row r="9" spans="1:9" x14ac:dyDescent="0.2">
      <c r="A9" s="17">
        <v>44652</v>
      </c>
      <c r="B9" s="7">
        <v>194.28840637207031</v>
      </c>
      <c r="C9" s="7">
        <v>48.746681213378913</v>
      </c>
      <c r="D9" s="7">
        <v>86.834541320800781</v>
      </c>
      <c r="E9" s="7">
        <v>65.192611694335938</v>
      </c>
      <c r="F9" s="7">
        <v>43.216831207275391</v>
      </c>
      <c r="G9" s="7">
        <v>92.181419372558594</v>
      </c>
      <c r="H9" s="7">
        <v>85.144493103027344</v>
      </c>
      <c r="I9" s="7"/>
    </row>
    <row r="10" spans="1:9" x14ac:dyDescent="0.2">
      <c r="A10" s="17">
        <v>44682</v>
      </c>
      <c r="B10" s="7">
        <v>193.80000305175781</v>
      </c>
      <c r="C10" s="7">
        <v>49.488433837890618</v>
      </c>
      <c r="D10" s="7">
        <v>82.7659912109375</v>
      </c>
      <c r="E10" s="7">
        <v>65.733528137207031</v>
      </c>
      <c r="F10" s="7">
        <v>42.925846099853523</v>
      </c>
      <c r="G10" s="7">
        <v>92.242538452148438</v>
      </c>
      <c r="H10" s="7">
        <v>85.565261840820312</v>
      </c>
      <c r="I10" s="7"/>
    </row>
    <row r="11" spans="1:9" x14ac:dyDescent="0.2">
      <c r="A11" s="17">
        <v>44713</v>
      </c>
      <c r="B11" s="7">
        <v>177.84782409667969</v>
      </c>
      <c r="C11" s="7">
        <v>45.559646606445312</v>
      </c>
      <c r="D11" s="7">
        <v>76.600852966308594</v>
      </c>
      <c r="E11" s="7">
        <v>64.641014099121094</v>
      </c>
      <c r="F11" s="7">
        <v>42.186668395996087</v>
      </c>
      <c r="G11" s="7">
        <v>92.173049926757812</v>
      </c>
      <c r="H11" s="7">
        <v>78.615875244140625</v>
      </c>
      <c r="I11" s="7"/>
    </row>
    <row r="12" spans="1:9" x14ac:dyDescent="0.2">
      <c r="A12" s="17">
        <v>44743</v>
      </c>
      <c r="B12" s="7">
        <v>194.47100830078119</v>
      </c>
      <c r="C12" s="7">
        <v>47.219261169433587</v>
      </c>
      <c r="D12" s="7">
        <v>83.200759887695312</v>
      </c>
      <c r="E12" s="7">
        <v>66.180648803710938</v>
      </c>
      <c r="F12" s="7">
        <v>43.544399261474609</v>
      </c>
      <c r="G12" s="7">
        <v>92.254310607910156</v>
      </c>
      <c r="H12" s="7">
        <v>84.106246948242188</v>
      </c>
      <c r="I12" s="7"/>
    </row>
    <row r="13" spans="1:9" x14ac:dyDescent="0.2">
      <c r="A13" s="17">
        <v>44774</v>
      </c>
      <c r="B13" s="7">
        <v>187.22013854980469</v>
      </c>
      <c r="C13" s="7">
        <v>45.100597381591797</v>
      </c>
      <c r="D13" s="7">
        <v>78.198295593261719</v>
      </c>
      <c r="E13" s="7">
        <v>64.329238891601562</v>
      </c>
      <c r="F13" s="7">
        <v>41.973793029785163</v>
      </c>
      <c r="G13" s="7">
        <v>92.372550964355469</v>
      </c>
      <c r="H13" s="7">
        <v>80.697799682617188</v>
      </c>
      <c r="I13" s="7"/>
    </row>
    <row r="14" spans="1:9" x14ac:dyDescent="0.2">
      <c r="A14" s="17">
        <v>44805</v>
      </c>
      <c r="B14" s="7">
        <v>169.93882751464841</v>
      </c>
      <c r="C14" s="7">
        <v>40.633022308349609</v>
      </c>
      <c r="D14" s="7">
        <v>68.133140563964844</v>
      </c>
      <c r="E14" s="7">
        <v>61.638347625732422</v>
      </c>
      <c r="F14" s="7">
        <v>40.759452819824219</v>
      </c>
      <c r="G14" s="7">
        <v>92.398605346679688</v>
      </c>
      <c r="H14" s="7">
        <v>73.008140563964844</v>
      </c>
      <c r="I14" s="7"/>
    </row>
    <row r="15" spans="1:9" x14ac:dyDescent="0.2">
      <c r="A15" s="17">
        <v>44835</v>
      </c>
      <c r="B15" s="7">
        <v>183.72557067871091</v>
      </c>
      <c r="C15" s="7">
        <v>42.017932891845703</v>
      </c>
      <c r="D15" s="7">
        <v>70.521247863769531</v>
      </c>
      <c r="E15" s="7">
        <v>60.924732208251953</v>
      </c>
      <c r="F15" s="7">
        <v>40.981735229492188</v>
      </c>
      <c r="G15" s="7">
        <v>92.542533874511719</v>
      </c>
      <c r="H15" s="7">
        <v>77.663703918457031</v>
      </c>
      <c r="I15" s="7"/>
    </row>
    <row r="16" spans="1:9" x14ac:dyDescent="0.2">
      <c r="A16" s="17">
        <v>44866</v>
      </c>
      <c r="B16" s="7">
        <v>193.22288513183591</v>
      </c>
      <c r="C16" s="7">
        <v>47.495449066162109</v>
      </c>
      <c r="D16" s="7">
        <v>74.85552978515625</v>
      </c>
      <c r="E16" s="7">
        <v>63.158172607421882</v>
      </c>
      <c r="F16" s="7">
        <v>41.977890014648438</v>
      </c>
      <c r="G16" s="7">
        <v>92.85626220703125</v>
      </c>
      <c r="H16" s="7">
        <v>84.096351623535156</v>
      </c>
      <c r="I16" s="7"/>
    </row>
    <row r="17" spans="1:9" x14ac:dyDescent="0.2">
      <c r="A17" s="17">
        <v>44896</v>
      </c>
      <c r="B17" s="7">
        <v>181.9092102050781</v>
      </c>
      <c r="C17" s="7">
        <v>46.476768493652337</v>
      </c>
      <c r="D17" s="7">
        <v>71.0870361328125</v>
      </c>
      <c r="E17" s="7">
        <v>62.649097442626953</v>
      </c>
      <c r="F17" s="7">
        <v>40.823890686035163</v>
      </c>
      <c r="G17" s="7">
        <v>93.214515686035156</v>
      </c>
      <c r="H17" s="7">
        <v>80.364662170410156</v>
      </c>
      <c r="I17" s="7"/>
    </row>
    <row r="18" spans="1:9" x14ac:dyDescent="0.2">
      <c r="A18" s="17">
        <v>44927</v>
      </c>
      <c r="B18" s="7">
        <v>194.50651550292969</v>
      </c>
      <c r="C18" s="7">
        <v>50.511573791503913</v>
      </c>
      <c r="D18" s="7">
        <v>78.481880187988281</v>
      </c>
      <c r="E18" s="7">
        <v>64.724609375</v>
      </c>
      <c r="F18" s="7">
        <v>41.787883758544922</v>
      </c>
      <c r="G18" s="7">
        <v>93.519798278808594</v>
      </c>
      <c r="H18" s="7">
        <v>86.509284973144531</v>
      </c>
      <c r="I18" s="7"/>
    </row>
    <row r="19" spans="1:9" x14ac:dyDescent="0.2">
      <c r="A19" s="17">
        <v>44958</v>
      </c>
      <c r="B19" s="7">
        <v>189.8348388671875</v>
      </c>
      <c r="C19" s="7">
        <v>48.354888916015618</v>
      </c>
      <c r="D19" s="7">
        <v>73.879508972167969</v>
      </c>
      <c r="E19" s="7">
        <v>62.999069213867188</v>
      </c>
      <c r="F19" s="7">
        <v>41.161334991455078</v>
      </c>
      <c r="G19" s="7">
        <v>93.792076110839844</v>
      </c>
      <c r="H19" s="7">
        <v>83.758644104003906</v>
      </c>
      <c r="I19" s="7"/>
    </row>
    <row r="20" spans="1:9" x14ac:dyDescent="0.2">
      <c r="A20" s="17">
        <v>44986</v>
      </c>
      <c r="B20" s="7">
        <v>194.97389221191409</v>
      </c>
      <c r="C20" s="7">
        <v>49.727943420410163</v>
      </c>
      <c r="D20" s="7">
        <v>72.287055969238281</v>
      </c>
      <c r="E20" s="7">
        <v>64.684730529785156</v>
      </c>
      <c r="F20" s="7">
        <v>42.213218688964837</v>
      </c>
      <c r="G20" s="7">
        <v>94.269851684570312</v>
      </c>
      <c r="H20" s="7">
        <v>86.145927429199219</v>
      </c>
      <c r="I20" s="7"/>
    </row>
    <row r="21" spans="1:9" x14ac:dyDescent="0.2">
      <c r="A21" s="17">
        <v>45017</v>
      </c>
      <c r="B21" s="7">
        <v>197.07551574707031</v>
      </c>
      <c r="C21" s="7">
        <v>50.664680480957031</v>
      </c>
      <c r="D21" s="7">
        <v>72.513397216796875</v>
      </c>
      <c r="E21" s="7">
        <v>65.065032958984375</v>
      </c>
      <c r="F21" s="7">
        <v>42.301357269287109</v>
      </c>
      <c r="G21" s="7">
        <v>94.561767578125</v>
      </c>
      <c r="H21" s="7">
        <v>87.37139892578125</v>
      </c>
      <c r="I21" s="7"/>
    </row>
    <row r="22" spans="1:9" x14ac:dyDescent="0.2">
      <c r="A22" s="17">
        <v>45047</v>
      </c>
      <c r="B22" s="7">
        <v>197.91612243652341</v>
      </c>
      <c r="C22" s="7">
        <v>48.890289306640618</v>
      </c>
      <c r="D22" s="7">
        <v>69.640701293945312</v>
      </c>
      <c r="E22" s="7">
        <v>64.307830810546875</v>
      </c>
      <c r="F22" s="7">
        <v>42.361953735351562</v>
      </c>
      <c r="G22" s="7">
        <v>94.869392395019531</v>
      </c>
      <c r="H22" s="7">
        <v>86.314308166503906</v>
      </c>
      <c r="I22" s="7"/>
    </row>
    <row r="23" spans="1:9" x14ac:dyDescent="0.2">
      <c r="A23" s="17">
        <v>45078</v>
      </c>
      <c r="B23" s="7">
        <v>211.23332214355469</v>
      </c>
      <c r="C23" s="7">
        <v>51.059188842773438</v>
      </c>
      <c r="D23" s="7">
        <v>73.56109619140625</v>
      </c>
      <c r="E23" s="7">
        <v>64.163963317871094</v>
      </c>
      <c r="F23" s="7">
        <v>42.364532470703118</v>
      </c>
      <c r="G23" s="7">
        <v>95.319854736328125</v>
      </c>
      <c r="H23" s="7">
        <v>91.327423095703125</v>
      </c>
      <c r="I23" s="7"/>
    </row>
    <row r="24" spans="1:9" x14ac:dyDescent="0.2">
      <c r="A24" s="17">
        <v>45108</v>
      </c>
      <c r="B24" s="7">
        <v>218.9719543457031</v>
      </c>
      <c r="C24" s="7">
        <v>53.044017791748047</v>
      </c>
      <c r="D24" s="7">
        <v>75.05767822265625</v>
      </c>
      <c r="E24" s="7">
        <v>64.087860107421875</v>
      </c>
      <c r="F24" s="7">
        <v>42.310726165771477</v>
      </c>
      <c r="G24" s="7">
        <v>95.685531616210938</v>
      </c>
      <c r="H24" s="7">
        <v>94.727005004882812</v>
      </c>
      <c r="I24" s="7"/>
    </row>
    <row r="25" spans="1:9" x14ac:dyDescent="0.2">
      <c r="A25" s="17">
        <v>45139</v>
      </c>
      <c r="B25" s="7">
        <v>214.74302673339841</v>
      </c>
      <c r="C25" s="7">
        <v>50.713211059570312</v>
      </c>
      <c r="D25" s="7">
        <v>72.522300720214844</v>
      </c>
      <c r="E25" s="7">
        <v>63.664634704589837</v>
      </c>
      <c r="F25" s="7">
        <v>42.399417877197273</v>
      </c>
      <c r="G25" s="7">
        <v>96.144058227539062</v>
      </c>
      <c r="H25" s="7">
        <v>92.033706665039062</v>
      </c>
      <c r="I25" s="7"/>
    </row>
    <row r="26" spans="1:9" x14ac:dyDescent="0.2">
      <c r="A26" s="17">
        <v>45170</v>
      </c>
      <c r="B26" s="7">
        <v>204.43304443359381</v>
      </c>
      <c r="C26" s="7">
        <v>48.987987518310547</v>
      </c>
      <c r="D26" s="7">
        <v>67.254447937011719</v>
      </c>
      <c r="E26" s="7">
        <v>62.086212158203118</v>
      </c>
      <c r="F26" s="7">
        <v>41.658218383789062</v>
      </c>
      <c r="G26" s="7">
        <v>96.520622253417969</v>
      </c>
      <c r="H26" s="7">
        <v>88.117866516113281</v>
      </c>
      <c r="I26" s="7"/>
    </row>
    <row r="27" spans="1:9" x14ac:dyDescent="0.2">
      <c r="A27" s="17">
        <v>45200</v>
      </c>
      <c r="B27" s="7">
        <v>199.0240783691406</v>
      </c>
      <c r="C27" s="7">
        <v>47.340396881103523</v>
      </c>
      <c r="D27" s="7">
        <v>64.81884765625</v>
      </c>
      <c r="E27" s="7">
        <v>61.142265319824219</v>
      </c>
      <c r="F27" s="7">
        <v>41.596275329589837</v>
      </c>
      <c r="G27" s="7">
        <v>96.954940795898438</v>
      </c>
      <c r="H27" s="7">
        <v>85.545646667480469</v>
      </c>
      <c r="I27" s="7"/>
    </row>
    <row r="28" spans="1:9" x14ac:dyDescent="0.2">
      <c r="A28" s="17">
        <v>45231</v>
      </c>
      <c r="B28" s="7">
        <v>217.7629089355469</v>
      </c>
      <c r="C28" s="7">
        <v>51.239669799804688</v>
      </c>
      <c r="D28" s="7">
        <v>72.650108337402344</v>
      </c>
      <c r="E28" s="7">
        <v>63.918972015380859</v>
      </c>
      <c r="F28" s="7">
        <v>43.024307250976562</v>
      </c>
      <c r="G28" s="7">
        <v>97.44659423828125</v>
      </c>
      <c r="H28" s="7">
        <v>93.252891540527344</v>
      </c>
      <c r="I28" s="7"/>
    </row>
    <row r="29" spans="1:9" x14ac:dyDescent="0.2">
      <c r="A29" s="17">
        <v>45261</v>
      </c>
      <c r="B29" s="7">
        <v>229.29103088378909</v>
      </c>
      <c r="C29" s="7">
        <v>53.849384307861328</v>
      </c>
      <c r="D29" s="7">
        <v>79.512153625488281</v>
      </c>
      <c r="E29" s="7">
        <v>66.191513061523438</v>
      </c>
      <c r="F29" s="7">
        <v>44.409812927246087</v>
      </c>
      <c r="G29" s="7">
        <v>97.916122436523438</v>
      </c>
      <c r="H29" s="7">
        <v>98.062423706054688</v>
      </c>
      <c r="I29" s="7"/>
    </row>
    <row r="30" spans="1:9" x14ac:dyDescent="0.2">
      <c r="A30" s="17">
        <v>45292</v>
      </c>
      <c r="B30" s="7">
        <v>231.8524475097656</v>
      </c>
      <c r="C30" s="7">
        <v>52.929603576660163</v>
      </c>
      <c r="D30" s="7">
        <v>75.48974609375</v>
      </c>
      <c r="E30" s="7">
        <v>66.08349609375</v>
      </c>
      <c r="F30" s="7">
        <v>44.148956298828118</v>
      </c>
      <c r="G30" s="7">
        <v>98.30731201171875</v>
      </c>
      <c r="H30" s="7">
        <v>98.062423706054688</v>
      </c>
      <c r="I30" s="7"/>
    </row>
    <row r="31" spans="1:9" x14ac:dyDescent="0.2">
      <c r="A31" s="17">
        <v>45323</v>
      </c>
      <c r="B31" s="7">
        <v>244.13761901855469</v>
      </c>
      <c r="C31" s="7">
        <v>54.471870422363281</v>
      </c>
      <c r="D31" s="7">
        <v>76.983528137207031</v>
      </c>
      <c r="E31" s="7">
        <v>65.1827392578125</v>
      </c>
      <c r="F31" s="7">
        <v>43.911064147949219</v>
      </c>
      <c r="G31" s="7">
        <v>98.693954467773438</v>
      </c>
      <c r="H31" s="7">
        <v>102.4660720825195</v>
      </c>
      <c r="I31" s="7"/>
    </row>
    <row r="32" spans="1:9" x14ac:dyDescent="0.2">
      <c r="A32" s="17">
        <v>45352</v>
      </c>
      <c r="B32" s="7">
        <v>252.0957946777344</v>
      </c>
      <c r="C32" s="7">
        <v>56.233787536621087</v>
      </c>
      <c r="D32" s="7">
        <v>78.485519409179688</v>
      </c>
      <c r="E32" s="7">
        <v>65.736640930175781</v>
      </c>
      <c r="F32" s="7">
        <v>44.40301513671875</v>
      </c>
      <c r="G32" s="7">
        <v>99.104560852050781</v>
      </c>
      <c r="H32" s="7">
        <v>105.7338333129883</v>
      </c>
      <c r="I32" s="7"/>
    </row>
    <row r="33" spans="1:9" x14ac:dyDescent="0.2">
      <c r="A33" s="17">
        <v>45383</v>
      </c>
      <c r="B33" s="7">
        <v>241.1448059082031</v>
      </c>
      <c r="C33" s="7">
        <v>54.928195953369141</v>
      </c>
      <c r="D33" s="7">
        <v>72.250587463378906</v>
      </c>
      <c r="E33" s="7">
        <v>64.153480529785156</v>
      </c>
      <c r="F33" s="7">
        <v>43.779918670654297</v>
      </c>
      <c r="G33" s="7">
        <v>99.475578308105469</v>
      </c>
      <c r="H33" s="7">
        <v>101.94464111328119</v>
      </c>
      <c r="I33" s="7"/>
    </row>
    <row r="34" spans="1:9" x14ac:dyDescent="0.2">
      <c r="A34" s="17">
        <v>45413</v>
      </c>
      <c r="B34" s="7">
        <v>252.61956787109381</v>
      </c>
      <c r="C34" s="7">
        <v>57.138381958007812</v>
      </c>
      <c r="D34" s="7">
        <v>75.545028686523438</v>
      </c>
      <c r="E34" s="7">
        <v>65.231552124023438</v>
      </c>
      <c r="F34" s="7">
        <v>43.905860900878913</v>
      </c>
      <c r="G34" s="7">
        <v>99.931320190429688</v>
      </c>
      <c r="H34" s="7">
        <v>106.63330078125</v>
      </c>
      <c r="I34" s="7"/>
    </row>
    <row r="35" spans="1:9" x14ac:dyDescent="0.2">
      <c r="A35" s="17">
        <v>45444</v>
      </c>
      <c r="B35" s="7">
        <v>260.39755249023438</v>
      </c>
      <c r="C35" s="7">
        <v>56.684280395507812</v>
      </c>
      <c r="D35" s="7">
        <v>76.961936950683594</v>
      </c>
      <c r="E35" s="7">
        <v>65.806060791015625</v>
      </c>
      <c r="F35" s="7">
        <v>44.183647155761719</v>
      </c>
      <c r="G35" s="7">
        <v>100.3508834838867</v>
      </c>
      <c r="H35" s="7">
        <v>108.32452392578119</v>
      </c>
      <c r="I35" s="7"/>
    </row>
    <row r="36" spans="1:9" x14ac:dyDescent="0.2">
      <c r="A36" s="17">
        <v>45474</v>
      </c>
      <c r="B36" s="7">
        <v>265.322998046875</v>
      </c>
      <c r="C36" s="7">
        <v>58.169540405273438</v>
      </c>
      <c r="D36" s="7">
        <v>83.072235107421875</v>
      </c>
      <c r="E36" s="7">
        <v>67.355262756347656</v>
      </c>
      <c r="F36" s="7">
        <v>45.123233795166023</v>
      </c>
      <c r="G36" s="7">
        <v>100.8123474121094</v>
      </c>
      <c r="H36" s="7">
        <v>110.4692764282227</v>
      </c>
      <c r="I36" s="7"/>
    </row>
    <row r="37" spans="1:9" x14ac:dyDescent="0.2">
      <c r="A37" s="17">
        <v>45505</v>
      </c>
      <c r="B37" s="7">
        <v>270.97854614257812</v>
      </c>
      <c r="C37" s="7">
        <v>59.570201873779297</v>
      </c>
      <c r="D37" s="7">
        <v>87.409133911132812</v>
      </c>
      <c r="E37" s="7">
        <v>68.333030700683594</v>
      </c>
      <c r="F37" s="7">
        <v>45.351982116699219</v>
      </c>
      <c r="G37" s="7">
        <v>101.31435394287109</v>
      </c>
      <c r="H37" s="7">
        <v>113.0468292236328</v>
      </c>
      <c r="I37" s="7"/>
    </row>
    <row r="38" spans="1:9" x14ac:dyDescent="0.2">
      <c r="A38" s="17">
        <v>45536</v>
      </c>
      <c r="B38" s="7">
        <v>276.48178100585938</v>
      </c>
      <c r="C38" s="7">
        <v>61.118625640869141</v>
      </c>
      <c r="D38" s="7">
        <v>90.267127990722656</v>
      </c>
      <c r="E38" s="7">
        <v>69.232658386230469</v>
      </c>
      <c r="F38" s="7">
        <v>45.919132232666023</v>
      </c>
      <c r="G38" s="7">
        <v>101.77894592285161</v>
      </c>
      <c r="H38" s="7">
        <v>115.529914855957</v>
      </c>
      <c r="I38" s="7"/>
    </row>
    <row r="39" spans="1:9" x14ac:dyDescent="0.2">
      <c r="A39" s="17">
        <v>45566</v>
      </c>
      <c r="B39" s="7">
        <v>274.4019775390625</v>
      </c>
      <c r="C39" s="7">
        <v>58.390274047851562</v>
      </c>
      <c r="D39" s="7">
        <v>87.237228393554688</v>
      </c>
      <c r="E39" s="7">
        <v>67.532546997070312</v>
      </c>
      <c r="F39" s="7">
        <v>45.586971282958977</v>
      </c>
      <c r="G39" s="7">
        <v>102.1429138183594</v>
      </c>
      <c r="H39" s="7">
        <v>113.01084136962891</v>
      </c>
      <c r="I39" s="7"/>
    </row>
    <row r="40" spans="1:9" x14ac:dyDescent="0.2">
      <c r="A40" s="17">
        <v>45597</v>
      </c>
      <c r="B40" s="7">
        <v>292.787841796875</v>
      </c>
      <c r="C40" s="7">
        <v>58.258113861083977</v>
      </c>
      <c r="D40" s="7">
        <v>90.952796936035156</v>
      </c>
      <c r="E40" s="7">
        <v>68.254035949707031</v>
      </c>
      <c r="F40" s="7">
        <v>46.346118927001953</v>
      </c>
      <c r="G40" s="7">
        <v>102.5205001831055</v>
      </c>
      <c r="H40" s="7">
        <v>117.6918869018555</v>
      </c>
      <c r="I40" s="7"/>
    </row>
    <row r="41" spans="1:9" x14ac:dyDescent="0.2">
      <c r="A41" s="17">
        <v>45627</v>
      </c>
      <c r="B41" s="7">
        <v>283.88580322265619</v>
      </c>
      <c r="C41" s="7">
        <v>56.584415435791023</v>
      </c>
      <c r="D41" s="7">
        <v>83.338066101074219</v>
      </c>
      <c r="E41" s="7">
        <v>67.106697082519531</v>
      </c>
      <c r="F41" s="7">
        <v>45.990146636962891</v>
      </c>
      <c r="G41" s="7">
        <v>102.93377685546881</v>
      </c>
      <c r="H41" s="7">
        <v>114.2360000610352</v>
      </c>
      <c r="I41" s="7"/>
    </row>
    <row r="42" spans="1:9" x14ac:dyDescent="0.2">
      <c r="A42" s="17">
        <v>45658</v>
      </c>
      <c r="B42" s="7">
        <v>292.49609375</v>
      </c>
      <c r="C42" s="7">
        <v>58.495208740234382</v>
      </c>
      <c r="D42" s="7">
        <v>84.713310241699219</v>
      </c>
      <c r="E42" s="7">
        <v>67.507972717285156</v>
      </c>
      <c r="F42" s="7">
        <v>46.102653503417969</v>
      </c>
      <c r="G42" s="7">
        <v>103.3077087402344</v>
      </c>
      <c r="H42" s="7">
        <v>117.7268600463867</v>
      </c>
      <c r="I42" s="7"/>
    </row>
    <row r="43" spans="1:9" x14ac:dyDescent="0.2">
      <c r="A43" s="17">
        <v>45689</v>
      </c>
      <c r="B43" s="7">
        <v>286.97134399414062</v>
      </c>
      <c r="C43" s="7">
        <v>59.580234527587891</v>
      </c>
      <c r="D43" s="7">
        <v>87.847366333007812</v>
      </c>
      <c r="E43" s="7">
        <v>68.963836669921875</v>
      </c>
      <c r="F43" s="7">
        <v>46.509506225585938</v>
      </c>
      <c r="G43" s="7">
        <v>103.6295166015625</v>
      </c>
      <c r="H43" s="7">
        <v>117.2406692504883</v>
      </c>
      <c r="I43" s="7"/>
    </row>
    <row r="44" spans="1:9" x14ac:dyDescent="0.2">
      <c r="A44" s="17">
        <v>45717</v>
      </c>
      <c r="B44" s="7">
        <v>270.16827392578119</v>
      </c>
      <c r="C44" s="7">
        <v>59.806835174560547</v>
      </c>
      <c r="D44" s="7">
        <v>85.574066162109375</v>
      </c>
      <c r="E44" s="7">
        <v>68.972274780273438</v>
      </c>
      <c r="F44" s="7">
        <v>45.958782196044922</v>
      </c>
      <c r="G44" s="7">
        <v>103.97592926025391</v>
      </c>
      <c r="H44" s="7">
        <v>113.11651611328119</v>
      </c>
      <c r="I44" s="7"/>
    </row>
    <row r="45" spans="1:9" x14ac:dyDescent="0.2">
      <c r="A45" s="17">
        <v>45748</v>
      </c>
      <c r="B45" s="7">
        <v>268.1826171875</v>
      </c>
      <c r="C45" s="7">
        <v>61.501853942871087</v>
      </c>
      <c r="D45" s="7">
        <v>83.48529052734375</v>
      </c>
      <c r="E45" s="7">
        <v>69.2454833984375</v>
      </c>
      <c r="F45" s="7">
        <v>46.749431610107422</v>
      </c>
      <c r="G45" s="7">
        <v>104.33863830566411</v>
      </c>
      <c r="H45" s="7">
        <v>113.7506408691406</v>
      </c>
      <c r="I45" s="7"/>
    </row>
    <row r="46" spans="1:9" x14ac:dyDescent="0.2">
      <c r="A46" s="17">
        <v>45778</v>
      </c>
      <c r="B46" s="7">
        <v>284.95260620117188</v>
      </c>
      <c r="C46" s="7">
        <v>64.468116760253906</v>
      </c>
      <c r="D46" s="7">
        <v>84.420982360839844</v>
      </c>
      <c r="E46" s="7">
        <v>68.778579711914062</v>
      </c>
      <c r="F46" s="7">
        <v>46.753208160400391</v>
      </c>
      <c r="G46" s="7">
        <v>104.6722717285156</v>
      </c>
      <c r="H46" s="7">
        <v>120.35520935058589</v>
      </c>
      <c r="I46" s="7"/>
    </row>
    <row r="47" spans="1:9" x14ac:dyDescent="0.2">
      <c r="A47" s="17">
        <v>45809</v>
      </c>
      <c r="B47" s="7">
        <v>299.66580200195312</v>
      </c>
      <c r="C47" s="7">
        <v>67.019332885742188</v>
      </c>
      <c r="D47" s="7">
        <v>85.002220153808594</v>
      </c>
      <c r="E47" s="7">
        <v>69.821685791015625</v>
      </c>
      <c r="F47" s="7">
        <v>46.911441802978523</v>
      </c>
      <c r="G47" s="7">
        <v>105.03086853027339</v>
      </c>
      <c r="H47" s="7">
        <v>125.9795837402344</v>
      </c>
      <c r="I47" s="7"/>
    </row>
    <row r="48" spans="1:9" x14ac:dyDescent="0.2">
      <c r="A48" s="17">
        <v>45839</v>
      </c>
      <c r="B48" s="7">
        <v>306.52816772460938</v>
      </c>
      <c r="C48" s="7">
        <v>66.417922973632812</v>
      </c>
      <c r="D48" s="7">
        <v>85.078567504882812</v>
      </c>
      <c r="E48" s="7">
        <v>69.636192321777344</v>
      </c>
      <c r="F48" s="7">
        <v>46.858264923095703</v>
      </c>
      <c r="G48" s="7">
        <v>105.3753967285156</v>
      </c>
      <c r="H48" s="7">
        <v>127.36170959472661</v>
      </c>
      <c r="I48" s="7"/>
    </row>
    <row r="49" spans="1:9" x14ac:dyDescent="0.2">
      <c r="A49" s="17">
        <v>45870</v>
      </c>
      <c r="B49" s="7">
        <v>313.735595703125</v>
      </c>
      <c r="C49" s="7">
        <v>69.231010437011719</v>
      </c>
      <c r="D49" s="7">
        <v>88.037322998046875</v>
      </c>
      <c r="E49" s="7">
        <v>70.439842224121094</v>
      </c>
      <c r="F49" s="7">
        <v>46.922019958496087</v>
      </c>
      <c r="G49" s="7">
        <v>105.8207244873047</v>
      </c>
      <c r="H49" s="7">
        <v>131.1258239746094</v>
      </c>
      <c r="I49" s="7"/>
    </row>
    <row r="50" spans="1:9" x14ac:dyDescent="0.2">
      <c r="A50" s="17">
        <v>45901</v>
      </c>
      <c r="B50" s="7">
        <v>324.4652099609375</v>
      </c>
      <c r="C50" s="7">
        <v>71.608009338378906</v>
      </c>
      <c r="D50" s="7">
        <v>88.088066101074219</v>
      </c>
      <c r="E50" s="7">
        <v>71.218406677246094</v>
      </c>
      <c r="F50" s="7">
        <v>47.169029235839837</v>
      </c>
      <c r="G50" s="7">
        <v>106.1936416625977</v>
      </c>
      <c r="H50" s="7">
        <v>135.5464782714844</v>
      </c>
      <c r="I50" s="7"/>
    </row>
    <row r="51" spans="1:9" x14ac:dyDescent="0.2">
      <c r="A51" s="17">
        <v>45931</v>
      </c>
      <c r="B51" s="7">
        <v>331.63339233398438</v>
      </c>
      <c r="C51" s="7">
        <v>72.748512268066406</v>
      </c>
      <c r="D51" s="7">
        <v>85.929710388183594</v>
      </c>
      <c r="E51" s="7">
        <v>71.647834777832031</v>
      </c>
      <c r="F51" s="7">
        <v>47.642097473144531</v>
      </c>
      <c r="G51" s="7">
        <v>106.5475387573242</v>
      </c>
      <c r="H51" s="7">
        <v>138.29084777832031</v>
      </c>
      <c r="I51" s="7"/>
    </row>
    <row r="52" spans="1:9" x14ac:dyDescent="0.2">
      <c r="A52" s="17">
        <v>45962</v>
      </c>
      <c r="B52" s="7">
        <v>332.5133056640625</v>
      </c>
      <c r="C52" s="7">
        <v>73.050697326660156</v>
      </c>
      <c r="D52" s="7">
        <v>88.010986328125</v>
      </c>
      <c r="E52" s="7">
        <v>72.075767517089844</v>
      </c>
      <c r="F52" s="7">
        <v>47.554950714111328</v>
      </c>
      <c r="G52" s="7">
        <v>106.86782073974609</v>
      </c>
      <c r="H52" s="7">
        <v>138.5859375</v>
      </c>
      <c r="I52" s="7"/>
    </row>
    <row r="53" spans="1:9" x14ac:dyDescent="0.2">
      <c r="A53" s="17">
        <v>45992</v>
      </c>
      <c r="B53" s="7">
        <v>332.42529296875</v>
      </c>
      <c r="C53" s="7">
        <v>74.888809204101562</v>
      </c>
      <c r="D53" s="7">
        <v>86.042831420898438</v>
      </c>
      <c r="E53" s="7">
        <v>71.859420776367188</v>
      </c>
      <c r="F53" s="7">
        <v>47.308055877685547</v>
      </c>
      <c r="G53" s="7">
        <v>107.26527404785161</v>
      </c>
      <c r="H53" s="7">
        <v>139.86358642578119</v>
      </c>
      <c r="I53" s="7"/>
    </row>
    <row r="54" spans="1:9" x14ac:dyDescent="0.2">
      <c r="A54" s="17">
        <v>46023</v>
      </c>
      <c r="B54" s="7">
        <v>337.68035888671881</v>
      </c>
      <c r="C54" s="7">
        <v>79.077987670898438</v>
      </c>
      <c r="D54" s="7">
        <v>88.288948059082031</v>
      </c>
      <c r="E54" s="7">
        <v>72.014656066894531</v>
      </c>
      <c r="F54" s="7">
        <v>47.552822113037109</v>
      </c>
      <c r="G54" s="7">
        <v>107.5476913452148</v>
      </c>
      <c r="H54" s="7">
        <v>144.21635437011719</v>
      </c>
      <c r="I54" s="7"/>
    </row>
    <row r="55" spans="1:9" x14ac:dyDescent="0.2">
      <c r="A55" s="17">
        <v>46054</v>
      </c>
      <c r="B55" s="7">
        <v>335.89559936523438</v>
      </c>
      <c r="C55" s="7">
        <v>83.197654724121094</v>
      </c>
      <c r="D55" s="7">
        <v>93.043724060058594</v>
      </c>
      <c r="E55" s="7">
        <v>73.1680908203125</v>
      </c>
      <c r="F55" s="7">
        <v>48.280963897705078</v>
      </c>
      <c r="G55" s="7">
        <v>107.8329238891602</v>
      </c>
      <c r="H55" s="7">
        <v>146.58607482910159</v>
      </c>
      <c r="I55" s="7"/>
    </row>
    <row r="56" spans="1:9" x14ac:dyDescent="0.2">
      <c r="A56" s="17">
        <v>46082</v>
      </c>
      <c r="B56" s="7">
        <v>319.08456420898438</v>
      </c>
      <c r="C56" s="7">
        <v>76.626068115234375</v>
      </c>
      <c r="D56" s="7">
        <v>87.168998718261719</v>
      </c>
      <c r="E56" s="7">
        <v>71.896903991699219</v>
      </c>
      <c r="F56" s="7">
        <v>47.248477935791023</v>
      </c>
      <c r="G56" s="7">
        <v>108.1306991577148</v>
      </c>
      <c r="H56" s="7">
        <v>137.4689636230469</v>
      </c>
      <c r="I56" s="7"/>
    </row>
    <row r="57" spans="1:9" x14ac:dyDescent="0.2">
      <c r="A57" s="17">
        <v>46113</v>
      </c>
      <c r="B57" s="7">
        <v>352.27505493164062</v>
      </c>
      <c r="C57" s="7">
        <v>82.538719177246094</v>
      </c>
      <c r="D57" s="7">
        <v>94.667312622070312</v>
      </c>
      <c r="E57" s="7">
        <v>72.004684448242188</v>
      </c>
      <c r="F57" s="7">
        <v>47.358867645263672</v>
      </c>
      <c r="G57" s="7">
        <v>108.4490051269531</v>
      </c>
      <c r="H57" s="7">
        <v>150.26969909667969</v>
      </c>
      <c r="I57" s="7"/>
    </row>
    <row r="58" spans="1:9" x14ac:dyDescent="0.2">
      <c r="A58" s="17">
        <v>46143</v>
      </c>
      <c r="B58" s="7">
        <v>370.53634643554688</v>
      </c>
      <c r="C58" s="7">
        <v>85.519889831542969</v>
      </c>
      <c r="D58" s="7">
        <v>94.048171997070312</v>
      </c>
      <c r="E58" s="7">
        <v>72.203216552734375</v>
      </c>
      <c r="F58" s="7">
        <v>47.747127532958977</v>
      </c>
      <c r="G58" s="7">
        <v>108.76234436035161</v>
      </c>
      <c r="H58" s="7">
        <v>157.1471252441406</v>
      </c>
      <c r="I58" s="7"/>
    </row>
    <row r="59" spans="1:9" x14ac:dyDescent="0.2">
      <c r="A59" s="17">
        <v>46174</v>
      </c>
      <c r="B59" s="7">
        <v>369.10848999023438</v>
      </c>
      <c r="C59" s="7">
        <v>85.335823059082031</v>
      </c>
      <c r="D59" s="7">
        <v>95.600837707519531</v>
      </c>
      <c r="E59" s="7">
        <v>72.397506713867188</v>
      </c>
      <c r="F59" s="7">
        <v>47.959041595458977</v>
      </c>
      <c r="G59" s="7">
        <v>109.059814453125</v>
      </c>
      <c r="H59" s="7">
        <v>156.5478210449219</v>
      </c>
      <c r="I59" s="7"/>
    </row>
    <row r="60" spans="1:9" x14ac:dyDescent="0.2">
      <c r="A60" s="17">
        <v>46204</v>
      </c>
      <c r="B60" s="7">
        <v>367.2830810546875</v>
      </c>
      <c r="C60" s="7">
        <v>84.43743896484375</v>
      </c>
      <c r="D60" s="7">
        <v>98.099166870117188</v>
      </c>
      <c r="E60" s="7">
        <v>71.471336364746094</v>
      </c>
      <c r="F60" s="7">
        <v>47.414138793945312</v>
      </c>
      <c r="G60" s="7">
        <v>109.4255676269531</v>
      </c>
      <c r="H60" s="7">
        <v>155.46061706542969</v>
      </c>
      <c r="I60" s="7"/>
    </row>
    <row r="61" spans="1:9" x14ac:dyDescent="0.2">
      <c r="A61" s="17">
        <v>46235</v>
      </c>
      <c r="B61" s="7">
        <v>377.19805908203119</v>
      </c>
      <c r="C61" s="7">
        <v>87.162521362304688</v>
      </c>
      <c r="D61" s="7">
        <v>95.610755920410156</v>
      </c>
      <c r="E61" s="7">
        <v>71.731483459472656</v>
      </c>
      <c r="F61" s="7">
        <v>47.313636779785163</v>
      </c>
      <c r="G61" s="7">
        <v>109.73378753662109</v>
      </c>
      <c r="H61" s="7">
        <v>160.13859558105469</v>
      </c>
      <c r="I61" s="7"/>
    </row>
    <row r="62" spans="1:9" x14ac:dyDescent="0.2">
      <c r="A62" s="17">
        <v>46266</v>
      </c>
      <c r="B62" s="7">
        <v>375.260009765625</v>
      </c>
      <c r="C62" s="7">
        <v>85.519996643066406</v>
      </c>
      <c r="D62" s="7">
        <v>90.529998779296875</v>
      </c>
      <c r="E62" s="7">
        <v>69.980720520019531</v>
      </c>
      <c r="F62" s="7">
        <v>46.746025085449219</v>
      </c>
      <c r="G62" s="7">
        <v>110.0110244750977</v>
      </c>
      <c r="H62" s="7">
        <v>158.44999694824219</v>
      </c>
      <c r="I62" s="7"/>
    </row>
    <row r="63" spans="1:9" x14ac:dyDescent="0.2">
      <c r="A63" s="17"/>
      <c r="B63" s="7"/>
      <c r="C63" s="7"/>
      <c r="D63" s="7"/>
      <c r="E63" s="7"/>
      <c r="F63" s="7"/>
      <c r="G63" s="7"/>
      <c r="H63" s="7"/>
      <c r="I63" s="7"/>
    </row>
    <row r="64" spans="1:9" x14ac:dyDescent="0.2">
      <c r="A64" s="17"/>
      <c r="B64" s="7"/>
      <c r="C64" s="7"/>
      <c r="D64" s="7"/>
      <c r="E64" s="7"/>
      <c r="F64" s="7"/>
      <c r="G64" s="7"/>
      <c r="H64" s="7"/>
      <c r="I64" s="7"/>
    </row>
    <row r="65" spans="1:9" x14ac:dyDescent="0.2">
      <c r="A65" s="17"/>
      <c r="B65" s="7"/>
      <c r="C65" s="7"/>
      <c r="D65" s="7"/>
      <c r="E65" s="7"/>
      <c r="F65" s="7"/>
      <c r="G65" s="7"/>
      <c r="H65" s="7"/>
      <c r="I6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BB58-3E6A-3E47-9E24-D3ECFA88D280}">
  <sheetPr codeName="Sheet2"/>
  <dimension ref="A1:I22"/>
  <sheetViews>
    <sheetView workbookViewId="0">
      <selection activeCell="I22" sqref="A1:I22"/>
    </sheetView>
  </sheetViews>
  <sheetFormatPr baseColWidth="10" defaultRowHeight="15" x14ac:dyDescent="0.2"/>
  <cols>
    <col min="1" max="1" width="16.1640625" customWidth="1"/>
    <col min="8" max="8" width="11.33203125" customWidth="1"/>
  </cols>
  <sheetData>
    <row r="1" spans="1:9" x14ac:dyDescent="0.2">
      <c r="A1" s="7"/>
      <c r="B1" s="14" t="s">
        <v>1</v>
      </c>
      <c r="C1" s="14" t="s">
        <v>2</v>
      </c>
      <c r="D1" s="14" t="s">
        <v>9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10</v>
      </c>
    </row>
    <row r="2" spans="1:9" x14ac:dyDescent="0.2">
      <c r="A2" s="8" t="s">
        <v>8</v>
      </c>
      <c r="B2" s="7" t="s">
        <v>11</v>
      </c>
      <c r="C2" s="7" t="s">
        <v>14</v>
      </c>
      <c r="D2" s="7" t="s">
        <v>15</v>
      </c>
      <c r="E2" s="7" t="s">
        <v>16</v>
      </c>
      <c r="F2" s="7" t="s">
        <v>16</v>
      </c>
      <c r="G2" s="7" t="s">
        <v>17</v>
      </c>
      <c r="H2" s="7" t="s">
        <v>18</v>
      </c>
      <c r="I2" s="7"/>
    </row>
    <row r="3" spans="1:9" x14ac:dyDescent="0.2">
      <c r="A3" s="8" t="s">
        <v>13</v>
      </c>
      <c r="B3" s="10">
        <v>0.25</v>
      </c>
      <c r="C3" s="10">
        <v>0.15</v>
      </c>
      <c r="D3" s="10">
        <v>0.1</v>
      </c>
      <c r="E3" s="10">
        <v>0.3</v>
      </c>
      <c r="F3" s="10">
        <v>0.15</v>
      </c>
      <c r="G3" s="10">
        <v>0.05</v>
      </c>
      <c r="H3" s="10">
        <v>0</v>
      </c>
      <c r="I3" s="10">
        <f>SUM(B3:H3)</f>
        <v>1</v>
      </c>
    </row>
    <row r="4" spans="1:9" x14ac:dyDescent="0.2">
      <c r="A4" s="8" t="s">
        <v>12</v>
      </c>
      <c r="B4" s="10">
        <v>0</v>
      </c>
      <c r="C4" s="10">
        <v>0</v>
      </c>
      <c r="D4" s="10">
        <v>0</v>
      </c>
      <c r="E4" s="10">
        <v>0.4</v>
      </c>
      <c r="F4" s="10">
        <v>0</v>
      </c>
      <c r="G4" s="10">
        <v>0</v>
      </c>
      <c r="H4" s="10">
        <v>0.6</v>
      </c>
      <c r="I4" s="10">
        <f>SUM(B4:H4)</f>
        <v>1</v>
      </c>
    </row>
    <row r="5" spans="1:9" x14ac:dyDescent="0.2">
      <c r="A5" s="7"/>
      <c r="B5" s="7"/>
      <c r="C5" s="7"/>
      <c r="D5" s="7"/>
      <c r="E5" s="7"/>
      <c r="F5" s="7"/>
      <c r="G5" s="7"/>
      <c r="H5" s="7"/>
      <c r="I5" s="7"/>
    </row>
    <row r="6" spans="1:9" x14ac:dyDescent="0.2">
      <c r="A6" s="7"/>
      <c r="B6" s="7"/>
      <c r="C6" s="7"/>
      <c r="D6" s="7"/>
      <c r="E6" s="7"/>
      <c r="F6" s="7"/>
      <c r="G6" s="7"/>
      <c r="H6" s="7"/>
      <c r="I6" s="7"/>
    </row>
    <row r="7" spans="1:9" x14ac:dyDescent="0.2">
      <c r="A7" s="7"/>
      <c r="B7" s="7"/>
      <c r="C7" s="7"/>
      <c r="D7" s="7"/>
      <c r="E7" s="7"/>
      <c r="F7" s="7"/>
      <c r="G7" s="7"/>
      <c r="H7" s="7"/>
      <c r="I7" s="7"/>
    </row>
    <row r="8" spans="1:9" x14ac:dyDescent="0.2">
      <c r="A8" s="7"/>
      <c r="B8" s="7"/>
      <c r="C8" s="7"/>
      <c r="D8" s="7"/>
      <c r="E8" s="7"/>
      <c r="F8" s="7"/>
      <c r="G8" s="7"/>
      <c r="H8" s="7"/>
      <c r="I8" s="7"/>
    </row>
    <row r="9" spans="1:9" x14ac:dyDescent="0.2">
      <c r="A9" s="7"/>
      <c r="B9" s="7"/>
      <c r="C9" s="7"/>
      <c r="D9" s="7"/>
      <c r="E9" s="7"/>
      <c r="F9" s="7"/>
      <c r="G9" s="7"/>
      <c r="H9" s="7"/>
      <c r="I9" s="7"/>
    </row>
    <row r="10" spans="1:9" x14ac:dyDescent="0.2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">
      <c r="A13" s="7"/>
      <c r="B13" s="7"/>
      <c r="C13" s="7"/>
      <c r="D13" s="7"/>
      <c r="E13" s="7"/>
      <c r="F13" s="7"/>
      <c r="G13" s="7"/>
      <c r="H13" s="7"/>
      <c r="I13" s="7"/>
    </row>
    <row r="14" spans="1:9" x14ac:dyDescent="0.2">
      <c r="A14" s="7"/>
      <c r="B14" s="7"/>
      <c r="C14" s="7"/>
      <c r="D14" s="7"/>
      <c r="E14" s="7"/>
      <c r="F14" s="7"/>
      <c r="G14" s="7"/>
      <c r="H14" s="7"/>
      <c r="I14" s="7"/>
    </row>
    <row r="15" spans="1:9" x14ac:dyDescent="0.2">
      <c r="A15" s="7"/>
      <c r="B15" s="7"/>
      <c r="C15" s="7"/>
      <c r="D15" s="7"/>
      <c r="E15" s="7"/>
      <c r="F15" s="7"/>
      <c r="G15" s="7"/>
      <c r="H15" s="7"/>
      <c r="I15" s="7"/>
    </row>
    <row r="16" spans="1:9" x14ac:dyDescent="0.2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">
      <c r="A18" s="7"/>
      <c r="B18" s="7"/>
      <c r="C18" s="7"/>
      <c r="D18" s="7"/>
      <c r="E18" s="7"/>
      <c r="F18" s="7"/>
      <c r="G18" s="7"/>
      <c r="H18" s="7"/>
      <c r="I18" s="7"/>
    </row>
    <row r="19" spans="1:9" x14ac:dyDescent="0.2">
      <c r="A19" s="7"/>
      <c r="B19" s="7"/>
      <c r="C19" s="7"/>
      <c r="D19" s="7"/>
      <c r="E19" s="7"/>
      <c r="F19" s="7"/>
      <c r="G19" s="7"/>
      <c r="H19" s="7"/>
      <c r="I19" s="7"/>
    </row>
    <row r="20" spans="1:9" x14ac:dyDescent="0.2">
      <c r="A20" s="7"/>
      <c r="B20" s="7"/>
      <c r="C20" s="7"/>
      <c r="D20" s="7"/>
      <c r="E20" s="7"/>
      <c r="F20" s="7"/>
      <c r="G20" s="7"/>
      <c r="H20" s="7"/>
      <c r="I20" s="7"/>
    </row>
    <row r="21" spans="1:9" x14ac:dyDescent="0.2">
      <c r="A21" s="7"/>
      <c r="B21" s="7"/>
      <c r="C21" s="7"/>
      <c r="D21" s="7"/>
      <c r="E21" s="7"/>
      <c r="F21" s="7"/>
      <c r="G21" s="7"/>
      <c r="H21" s="7"/>
      <c r="I21" s="7"/>
    </row>
    <row r="22" spans="1:9" x14ac:dyDescent="0.2">
      <c r="A22" s="7"/>
      <c r="B22" s="7"/>
      <c r="C22" s="7"/>
      <c r="D22" s="7"/>
      <c r="E22" s="7"/>
      <c r="F22" s="7"/>
      <c r="G22" s="7"/>
      <c r="H22" s="7"/>
      <c r="I2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0238-9C41-094B-AFC8-7D55EE6CDE77}">
  <sheetPr codeName="Sheet3"/>
  <dimension ref="A1:T65"/>
  <sheetViews>
    <sheetView workbookViewId="0">
      <selection activeCell="E87" sqref="E87"/>
    </sheetView>
  </sheetViews>
  <sheetFormatPr baseColWidth="10" defaultRowHeight="15" x14ac:dyDescent="0.2"/>
  <cols>
    <col min="12" max="12" width="13" customWidth="1"/>
    <col min="13" max="13" width="14.33203125" customWidth="1"/>
    <col min="15" max="15" width="13.5" customWidth="1"/>
    <col min="17" max="17" width="14.5" customWidth="1"/>
    <col min="18" max="18" width="14" customWidth="1"/>
    <col min="19" max="19" width="15.1640625" customWidth="1"/>
  </cols>
  <sheetData>
    <row r="1" spans="1:20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19</v>
      </c>
      <c r="J1" s="14" t="s">
        <v>20</v>
      </c>
      <c r="K1" s="14" t="s">
        <v>21</v>
      </c>
      <c r="L1" s="14" t="s">
        <v>22</v>
      </c>
      <c r="M1" s="14" t="s">
        <v>23</v>
      </c>
      <c r="N1" s="14" t="s">
        <v>24</v>
      </c>
      <c r="O1" s="14" t="s">
        <v>25</v>
      </c>
      <c r="P1" s="14" t="s">
        <v>26</v>
      </c>
      <c r="Q1" s="14" t="s">
        <v>27</v>
      </c>
      <c r="R1" s="14" t="s">
        <v>28</v>
      </c>
      <c r="S1" s="14" t="s">
        <v>29</v>
      </c>
      <c r="T1" s="7"/>
    </row>
    <row r="2" spans="1:20" x14ac:dyDescent="0.2">
      <c r="A2" s="15">
        <f>AdjPrice!A2</f>
        <v>44440</v>
      </c>
      <c r="B2" s="7"/>
      <c r="C2" s="7"/>
      <c r="D2" s="7"/>
      <c r="E2" s="7"/>
      <c r="F2" s="7"/>
      <c r="G2" s="7"/>
      <c r="H2" s="7"/>
      <c r="I2" s="7"/>
      <c r="J2" s="7"/>
      <c r="K2" s="7"/>
      <c r="L2" s="7">
        <v>100</v>
      </c>
      <c r="M2" s="7">
        <v>100</v>
      </c>
      <c r="N2" s="7">
        <f>L2</f>
        <v>100</v>
      </c>
      <c r="O2" s="7">
        <f>L2/N2-1</f>
        <v>0</v>
      </c>
      <c r="P2" s="7">
        <f>M2</f>
        <v>100</v>
      </c>
      <c r="Q2" s="7">
        <f>M2/P2-1</f>
        <v>0</v>
      </c>
      <c r="R2" s="7"/>
      <c r="S2" s="7"/>
      <c r="T2" s="7"/>
    </row>
    <row r="3" spans="1:20" x14ac:dyDescent="0.2">
      <c r="A3" s="15">
        <f>AdjPrice!A3</f>
        <v>44470</v>
      </c>
      <c r="B3" s="7">
        <f>AdjPrice!B3/AdjPrice!B2-1</f>
        <v>6.6873864866889621E-2</v>
      </c>
      <c r="C3" s="7">
        <f>AdjPrice!C3/AdjPrice!C2-1</f>
        <v>2.8769944999471608E-2</v>
      </c>
      <c r="D3" s="7">
        <f>AdjPrice!D3/AdjPrice!D2-1</f>
        <v>7.1330247951826298E-2</v>
      </c>
      <c r="E3" s="7">
        <f>AdjPrice!E3/AdjPrice!E2-1</f>
        <v>7.0307376615685868E-4</v>
      </c>
      <c r="F3" s="7">
        <f>AdjPrice!F3/AdjPrice!F2-1</f>
        <v>-4.4270750866353126E-3</v>
      </c>
      <c r="G3" s="7">
        <f>AdjPrice!G3/AdjPrice!G2-1</f>
        <v>-2.7109759430821168E-4</v>
      </c>
      <c r="H3" s="7">
        <f>AdjPrice!H3/AdjPrice!H2-1</f>
        <v>5.145831319941907E-2</v>
      </c>
      <c r="I3" s="7">
        <f>SUMPRODUCT(B3:H3, Weights!$B$3:$H$3)</f>
        <v>2.7700288748962128E-2</v>
      </c>
      <c r="J3" s="7">
        <f>SUMPRODUCT(B3:H3, Weights!$B$4:$H$4)</f>
        <v>3.1156217426114186E-2</v>
      </c>
      <c r="K3" s="7">
        <f>I3-J3</f>
        <v>-3.4559286771520571E-3</v>
      </c>
      <c r="L3" s="7">
        <f>L2*(1+I3)</f>
        <v>102.77002887489621</v>
      </c>
      <c r="M3" s="7">
        <f>M2*(1+J3)</f>
        <v>103.11562174261142</v>
      </c>
      <c r="N3" s="7">
        <f>MAX(N2,L3)</f>
        <v>102.77002887489621</v>
      </c>
      <c r="O3" s="7">
        <f t="shared" ref="O3:O39" si="0">L3/N3-1</f>
        <v>0</v>
      </c>
      <c r="P3" s="7">
        <f>MAX(P2,M3)</f>
        <v>103.11562174261142</v>
      </c>
      <c r="Q3" s="7">
        <f t="shared" ref="Q3:Q62" si="1">M3/P3-1</f>
        <v>0</v>
      </c>
      <c r="R3" s="7"/>
      <c r="S3" s="7"/>
      <c r="T3" s="7"/>
    </row>
    <row r="4" spans="1:20" x14ac:dyDescent="0.2">
      <c r="A4" s="15">
        <f>AdjPrice!A4</f>
        <v>44501</v>
      </c>
      <c r="B4" s="7">
        <f>AdjPrice!B4/AdjPrice!B3-1</f>
        <v>-1.4604802811170159E-2</v>
      </c>
      <c r="C4" s="7">
        <f>AdjPrice!C4/AdjPrice!C3-1</f>
        <v>-4.2563043161244041E-2</v>
      </c>
      <c r="D4" s="7">
        <f>AdjPrice!D4/AdjPrice!D3-1</f>
        <v>-2.1093215621416972E-2</v>
      </c>
      <c r="E4" s="7">
        <f>AdjPrice!E4/AdjPrice!E3-1</f>
        <v>2.0412548686179477E-3</v>
      </c>
      <c r="F4" s="7">
        <f>AdjPrice!F4/AdjPrice!F3-1</f>
        <v>1.0577064207055509E-2</v>
      </c>
      <c r="G4" s="7">
        <f>AdjPrice!G4/AdjPrice!G3-1</f>
        <v>-4.5297056261273116E-4</v>
      </c>
      <c r="H4" s="7">
        <f>AdjPrice!H4/AdjPrice!H3-1</f>
        <v>-2.6151164305990071E-2</v>
      </c>
      <c r="I4" s="7">
        <f>SUMPRODUCT(B4:H4, Weights!$B$3:$H$3)</f>
        <v>-9.9686911756077697E-3</v>
      </c>
      <c r="J4" s="7">
        <f>SUMPRODUCT(B4:H4, Weights!$B$4:$H$4)</f>
        <v>-1.4874196636146862E-2</v>
      </c>
      <c r="K4" s="7">
        <f t="shared" ref="K4:K62" si="2">I4-J4</f>
        <v>4.9055054605390922E-3</v>
      </c>
      <c r="L4" s="7">
        <f t="shared" ref="L4:L62" si="3">L3*(1+I4)</f>
        <v>101.74554619493408</v>
      </c>
      <c r="M4" s="7">
        <f t="shared" ref="M4:M62" si="4">M3*(1+J4)</f>
        <v>101.58185970855328</v>
      </c>
      <c r="N4" s="7">
        <f t="shared" ref="N4:N62" si="5">MAX(N3,L4)</f>
        <v>102.77002887489621</v>
      </c>
      <c r="O4" s="7">
        <f t="shared" si="0"/>
        <v>-9.9686911756077246E-3</v>
      </c>
      <c r="P4" s="7">
        <f t="shared" ref="P4:P62" si="6">MAX(P3,M4)</f>
        <v>103.11562174261142</v>
      </c>
      <c r="Q4" s="7">
        <f t="shared" si="1"/>
        <v>-1.4874196636146864E-2</v>
      </c>
      <c r="R4" s="7"/>
      <c r="S4" s="7"/>
      <c r="T4" s="7"/>
    </row>
    <row r="5" spans="1:20" x14ac:dyDescent="0.2">
      <c r="A5" s="15">
        <f>AdjPrice!A5</f>
        <v>44531</v>
      </c>
      <c r="B5" s="7">
        <f>AdjPrice!B5/AdjPrice!B4-1</f>
        <v>3.7930343735485872E-2</v>
      </c>
      <c r="C5" s="7">
        <f>AdjPrice!C5/AdjPrice!C4-1</f>
        <v>3.5723554794470758E-2</v>
      </c>
      <c r="D5" s="7">
        <f>AdjPrice!D5/AdjPrice!D4-1</f>
        <v>9.7055856657846551E-2</v>
      </c>
      <c r="E5" s="7">
        <f>AdjPrice!E5/AdjPrice!E4-1</f>
        <v>-3.103217994550489E-3</v>
      </c>
      <c r="F5" s="7">
        <f>AdjPrice!F5/AdjPrice!F4-1</f>
        <v>-7.4721691072235918E-3</v>
      </c>
      <c r="G5" s="7">
        <f>AdjPrice!G5/AdjPrice!G4-1</f>
        <v>2.7195508435773341E-4</v>
      </c>
      <c r="H5" s="7">
        <f>AdjPrice!H5/AdjPrice!H4-1</f>
        <v>3.805924946199446E-2</v>
      </c>
      <c r="I5" s="7">
        <f>SUMPRODUCT(B5:H5, Weights!$B$3:$H$3)</f>
        <v>2.2508511808595942E-2</v>
      </c>
      <c r="J5" s="7">
        <f>SUMPRODUCT(B5:H5, Weights!$B$4:$H$4)</f>
        <v>2.1594262479376479E-2</v>
      </c>
      <c r="K5" s="7">
        <f t="shared" si="2"/>
        <v>9.1424932921946311E-4</v>
      </c>
      <c r="L5" s="7">
        <f t="shared" si="3"/>
        <v>104.03568702293479</v>
      </c>
      <c r="M5" s="7">
        <f t="shared" si="4"/>
        <v>103.77544505024299</v>
      </c>
      <c r="N5" s="7">
        <f t="shared" si="5"/>
        <v>104.03568702293479</v>
      </c>
      <c r="O5" s="7">
        <f t="shared" si="0"/>
        <v>0</v>
      </c>
      <c r="P5" s="7">
        <f t="shared" si="6"/>
        <v>103.77544505024299</v>
      </c>
      <c r="Q5" s="7">
        <f t="shared" si="1"/>
        <v>0</v>
      </c>
      <c r="R5" s="7"/>
      <c r="S5" s="7"/>
      <c r="T5" s="7"/>
    </row>
    <row r="6" spans="1:20" x14ac:dyDescent="0.2">
      <c r="A6" s="15">
        <f>AdjPrice!A6</f>
        <v>44562</v>
      </c>
      <c r="B6" s="7">
        <f>AdjPrice!B6/AdjPrice!B5-1</f>
        <v>-6.059476070754799E-2</v>
      </c>
      <c r="C6" s="7">
        <f>AdjPrice!C6/AdjPrice!C5-1</f>
        <v>-2.8315070012267629E-2</v>
      </c>
      <c r="D6" s="7">
        <f>AdjPrice!D6/AdjPrice!D5-1</f>
        <v>-8.4216774224595947E-2</v>
      </c>
      <c r="E6" s="7">
        <f>AdjPrice!E6/AdjPrice!E5-1</f>
        <v>-2.0648965054588353E-2</v>
      </c>
      <c r="F6" s="7">
        <f>AdjPrice!F6/AdjPrice!F5-1</f>
        <v>-1.3778167997925972E-2</v>
      </c>
      <c r="G6" s="7">
        <f>AdjPrice!G6/AdjPrice!G5-1</f>
        <v>-8.1498252641110103E-4</v>
      </c>
      <c r="H6" s="7">
        <f>AdjPrice!H6/AdjPrice!H5-1</f>
        <v>-4.5797119364500261E-2</v>
      </c>
      <c r="I6" s="7">
        <f>SUMPRODUCT(B6:H6, Weights!$B$3:$H$3)</f>
        <v>-3.6119791943572697E-2</v>
      </c>
      <c r="J6" s="7">
        <f>SUMPRODUCT(B6:H6, Weights!$B$4:$H$4)</f>
        <v>-3.5737857640535498E-2</v>
      </c>
      <c r="K6" s="7">
        <f t="shared" si="2"/>
        <v>-3.8193430303719994E-4</v>
      </c>
      <c r="L6" s="7">
        <f t="shared" si="3"/>
        <v>100.27793965295974</v>
      </c>
      <c r="M6" s="7">
        <f t="shared" si="4"/>
        <v>100.06673296845419</v>
      </c>
      <c r="N6" s="7">
        <f t="shared" si="5"/>
        <v>104.03568702293479</v>
      </c>
      <c r="O6" s="7">
        <f t="shared" si="0"/>
        <v>-3.6119791943572732E-2</v>
      </c>
      <c r="P6" s="7">
        <f t="shared" si="6"/>
        <v>103.77544505024299</v>
      </c>
      <c r="Q6" s="7">
        <f t="shared" si="1"/>
        <v>-3.5737857640535498E-2</v>
      </c>
      <c r="R6" s="7"/>
      <c r="S6" s="7"/>
      <c r="T6" s="7"/>
    </row>
    <row r="7" spans="1:20" x14ac:dyDescent="0.2">
      <c r="A7" s="15">
        <f>AdjPrice!A7</f>
        <v>44593</v>
      </c>
      <c r="B7" s="7">
        <f>AdjPrice!B7/AdjPrice!B6-1</f>
        <v>-2.4866557632443609E-2</v>
      </c>
      <c r="C7" s="7">
        <f>AdjPrice!C7/AdjPrice!C6-1</f>
        <v>-2.8492983703864438E-2</v>
      </c>
      <c r="D7" s="7">
        <f>AdjPrice!D7/AdjPrice!D6-1</f>
        <v>-3.4826873401539449E-2</v>
      </c>
      <c r="E7" s="7">
        <f>AdjPrice!E7/AdjPrice!E6-1</f>
        <v>-1.1380687480606277E-2</v>
      </c>
      <c r="F7" s="7">
        <f>AdjPrice!F7/AdjPrice!F6-1</f>
        <v>-1.2566326342094203E-2</v>
      </c>
      <c r="G7" s="7">
        <f>AdjPrice!G7/AdjPrice!G6-1</f>
        <v>-3.6272119109470591E-4</v>
      </c>
      <c r="H7" s="7">
        <f>AdjPrice!H7/AdjPrice!H6-1</f>
        <v>-2.7704748414648428E-2</v>
      </c>
      <c r="I7" s="7">
        <f>SUMPRODUCT(B7:H7, Weights!$B$3:$H$3)</f>
        <v>-1.9290565558895259E-2</v>
      </c>
      <c r="J7" s="7">
        <f>SUMPRODUCT(B7:H7, Weights!$B$4:$H$4)</f>
        <v>-2.1175124041031567E-2</v>
      </c>
      <c r="K7" s="7">
        <f t="shared" si="2"/>
        <v>1.884558482136308E-3</v>
      </c>
      <c r="L7" s="7">
        <f t="shared" si="3"/>
        <v>98.343521483973376</v>
      </c>
      <c r="M7" s="7">
        <f t="shared" si="4"/>
        <v>97.947807485466384</v>
      </c>
      <c r="N7" s="7">
        <f t="shared" si="5"/>
        <v>104.03568702293479</v>
      </c>
      <c r="O7" s="7">
        <f t="shared" si="0"/>
        <v>-5.4713586288006821E-2</v>
      </c>
      <c r="P7" s="7">
        <f t="shared" si="6"/>
        <v>103.77544505024299</v>
      </c>
      <c r="Q7" s="7">
        <f t="shared" si="1"/>
        <v>-5.6156228113068085E-2</v>
      </c>
      <c r="R7" s="7"/>
      <c r="S7" s="7"/>
      <c r="T7" s="7"/>
    </row>
    <row r="8" spans="1:20" x14ac:dyDescent="0.2">
      <c r="A8" s="15">
        <f>AdjPrice!A8</f>
        <v>44621</v>
      </c>
      <c r="B8" s="7">
        <f>AdjPrice!B8/AdjPrice!B7-1</f>
        <v>3.259930638550701E-2</v>
      </c>
      <c r="C8" s="7">
        <f>AdjPrice!C8/AdjPrice!C7-1</f>
        <v>-2.8374038517244848E-3</v>
      </c>
      <c r="D8" s="7">
        <f>AdjPrice!D8/AdjPrice!D7-1</f>
        <v>6.2639437794691943E-2</v>
      </c>
      <c r="E8" s="7">
        <f>AdjPrice!E8/AdjPrice!E7-1</f>
        <v>-2.7521084926904194E-2</v>
      </c>
      <c r="F8" s="7">
        <f>AdjPrice!F8/AdjPrice!F7-1</f>
        <v>-2.2280017817518316E-2</v>
      </c>
      <c r="G8" s="7">
        <f>AdjPrice!G8/AdjPrice!G7-1</f>
        <v>-3.6277009457663656E-4</v>
      </c>
      <c r="H8" s="7">
        <f>AdjPrice!H8/AdjPrice!H7-1</f>
        <v>1.8854205454724493E-2</v>
      </c>
      <c r="I8" s="7">
        <f>SUMPRODUCT(B8:H8, Weights!$B$3:$H$3)</f>
        <v>2.3716931426594379E-3</v>
      </c>
      <c r="J8" s="7">
        <f>SUMPRODUCT(B8:H8, Weights!$B$4:$H$4)</f>
        <v>3.0408930207301808E-4</v>
      </c>
      <c r="K8" s="7">
        <f t="shared" si="2"/>
        <v>2.0676038405864198E-3</v>
      </c>
      <c r="L8" s="7">
        <f t="shared" si="3"/>
        <v>98.576762139501895</v>
      </c>
      <c r="M8" s="7">
        <f t="shared" si="4"/>
        <v>97.97759236588422</v>
      </c>
      <c r="N8" s="7">
        <f t="shared" si="5"/>
        <v>104.03568702293479</v>
      </c>
      <c r="O8" s="7">
        <f t="shared" si="0"/>
        <v>-5.247165698275702E-2</v>
      </c>
      <c r="P8" s="7">
        <f t="shared" si="6"/>
        <v>103.77544505024299</v>
      </c>
      <c r="Q8" s="7">
        <f t="shared" si="1"/>
        <v>-5.5869215319209076E-2</v>
      </c>
      <c r="R8" s="7"/>
      <c r="S8" s="7"/>
      <c r="T8" s="7"/>
    </row>
    <row r="9" spans="1:20" x14ac:dyDescent="0.2">
      <c r="A9" s="15">
        <f>AdjPrice!A9</f>
        <v>44652</v>
      </c>
      <c r="B9" s="7">
        <f>AdjPrice!B9/AdjPrice!B8-1</f>
        <v>-9.1316228876194394E-2</v>
      </c>
      <c r="C9" s="7">
        <f>AdjPrice!C9/AdjPrice!C8-1</f>
        <v>-6.4948116333620964E-2</v>
      </c>
      <c r="D9" s="7">
        <f>AdjPrice!D9/AdjPrice!D8-1</f>
        <v>-4.0878692937555972E-2</v>
      </c>
      <c r="E9" s="7">
        <f>AdjPrice!E9/AdjPrice!E8-1</f>
        <v>-3.9726774335073878E-2</v>
      </c>
      <c r="F9" s="7">
        <f>AdjPrice!F9/AdjPrice!F8-1</f>
        <v>-2.9998715687449495E-2</v>
      </c>
      <c r="G9" s="7">
        <f>AdjPrice!G9/AdjPrice!G8-1</f>
        <v>-2.9066890751183738E-4</v>
      </c>
      <c r="H9" s="7">
        <f>AdjPrice!H9/AdjPrice!H8-1</f>
        <v>-8.0955758135845546E-2</v>
      </c>
      <c r="I9" s="7">
        <f>SUMPRODUCT(B9:H9, Weights!$B$3:$H$3)</f>
        <v>-5.3091517061862527E-2</v>
      </c>
      <c r="J9" s="7">
        <f>SUMPRODUCT(B9:H9, Weights!$B$4:$H$4)</f>
        <v>-6.4464164615536876E-2</v>
      </c>
      <c r="K9" s="7">
        <f t="shared" si="2"/>
        <v>1.1372647553674349E-2</v>
      </c>
      <c r="L9" s="7">
        <f t="shared" si="3"/>
        <v>93.343172290469369</v>
      </c>
      <c r="M9" s="7">
        <f t="shared" si="4"/>
        <v>91.661548722975894</v>
      </c>
      <c r="N9" s="7">
        <f t="shared" si="5"/>
        <v>104.03568702293479</v>
      </c>
      <c r="O9" s="7">
        <f t="shared" si="0"/>
        <v>-0.10277737417265531</v>
      </c>
      <c r="P9" s="7">
        <f t="shared" si="6"/>
        <v>103.77544505024299</v>
      </c>
      <c r="Q9" s="7">
        <f t="shared" si="1"/>
        <v>-0.11673181764146756</v>
      </c>
      <c r="R9" s="7"/>
      <c r="S9" s="7"/>
      <c r="T9" s="7"/>
    </row>
    <row r="10" spans="1:20" x14ac:dyDescent="0.2">
      <c r="A10" s="15">
        <f>AdjPrice!A10</f>
        <v>44682</v>
      </c>
      <c r="B10" s="7">
        <f>AdjPrice!B10/AdjPrice!B9-1</f>
        <v>-2.5138057871408881E-3</v>
      </c>
      <c r="C10" s="7">
        <f>AdjPrice!C10/AdjPrice!C9-1</f>
        <v>1.5216474353706877E-2</v>
      </c>
      <c r="D10" s="7">
        <f>AdjPrice!D10/AdjPrice!D9-1</f>
        <v>-4.6854051947282871E-2</v>
      </c>
      <c r="E10" s="7">
        <f>AdjPrice!E10/AdjPrice!E9-1</f>
        <v>8.2972046802980426E-3</v>
      </c>
      <c r="F10" s="7">
        <f>AdjPrice!F10/AdjPrice!F9-1</f>
        <v>-6.7331430670206638E-3</v>
      </c>
      <c r="G10" s="7">
        <f>AdjPrice!G10/AdjPrice!G9-1</f>
        <v>6.6303035910975083E-4</v>
      </c>
      <c r="H10" s="7">
        <f>AdjPrice!H10/AdjPrice!H9-1</f>
        <v>4.9418197520281204E-3</v>
      </c>
      <c r="I10" s="7">
        <f>SUMPRODUCT(B10:H10, Weights!$B$3:$H$3)</f>
        <v>-1.5190440264656775E-3</v>
      </c>
      <c r="J10" s="7">
        <f>SUMPRODUCT(B10:H10, Weights!$B$4:$H$4)</f>
        <v>6.2839737233360889E-3</v>
      </c>
      <c r="K10" s="7">
        <f t="shared" si="2"/>
        <v>-7.8030177498017664E-3</v>
      </c>
      <c r="L10" s="7">
        <f t="shared" si="3"/>
        <v>93.201379902190183</v>
      </c>
      <c r="M10" s="7">
        <f t="shared" si="4"/>
        <v>92.237547486591353</v>
      </c>
      <c r="N10" s="7">
        <f t="shared" si="5"/>
        <v>104.03568702293479</v>
      </c>
      <c r="O10" s="7">
        <f t="shared" si="0"/>
        <v>-0.10414029484282805</v>
      </c>
      <c r="P10" s="7">
        <f t="shared" si="6"/>
        <v>103.77544505024299</v>
      </c>
      <c r="Q10" s="7">
        <f t="shared" si="1"/>
        <v>-0.11118138359286778</v>
      </c>
      <c r="R10" s="7"/>
      <c r="S10" s="7"/>
      <c r="T10" s="7"/>
    </row>
    <row r="11" spans="1:20" x14ac:dyDescent="0.2">
      <c r="A11" s="15">
        <f>AdjPrice!A11</f>
        <v>44713</v>
      </c>
      <c r="B11" s="7">
        <f>AdjPrice!B11/AdjPrice!B10-1</f>
        <v>-8.2312583611352186E-2</v>
      </c>
      <c r="C11" s="7">
        <f>AdjPrice!C11/AdjPrice!C10-1</f>
        <v>-7.9387988803906073E-2</v>
      </c>
      <c r="D11" s="7">
        <f>AdjPrice!D11/AdjPrice!D10-1</f>
        <v>-7.4488786449937283E-2</v>
      </c>
      <c r="E11" s="7">
        <f>AdjPrice!E11/AdjPrice!E10-1</f>
        <v>-1.6620346861734081E-2</v>
      </c>
      <c r="F11" s="7">
        <f>AdjPrice!F11/AdjPrice!F10-1</f>
        <v>-1.7219874994146234E-2</v>
      </c>
      <c r="G11" s="7">
        <f>AdjPrice!G11/AdjPrice!G10-1</f>
        <v>-7.5332407972128479E-4</v>
      </c>
      <c r="H11" s="7">
        <f>AdjPrice!H11/AdjPrice!H10-1</f>
        <v>-8.1217382465419763E-2</v>
      </c>
      <c r="I11" s="7">
        <f>SUMPRODUCT(B11:H11, Weights!$B$3:$H$3)</f>
        <v>-4.7541974380045912E-2</v>
      </c>
      <c r="J11" s="7">
        <f>SUMPRODUCT(B11:H11, Weights!$B$4:$H$4)</f>
        <v>-5.537856822394549E-2</v>
      </c>
      <c r="K11" s="7">
        <f t="shared" si="2"/>
        <v>7.836593843899578E-3</v>
      </c>
      <c r="L11" s="7">
        <f t="shared" si="3"/>
        <v>88.77040228669533</v>
      </c>
      <c r="M11" s="7">
        <f t="shared" si="4"/>
        <v>87.129564170295737</v>
      </c>
      <c r="N11" s="7">
        <f t="shared" si="5"/>
        <v>104.03568702293479</v>
      </c>
      <c r="O11" s="7">
        <f t="shared" si="0"/>
        <v>-0.14673123399352583</v>
      </c>
      <c r="P11" s="7">
        <f t="shared" si="6"/>
        <v>103.77544505024299</v>
      </c>
      <c r="Q11" s="7">
        <f t="shared" si="1"/>
        <v>-0.16040288598028307</v>
      </c>
      <c r="R11" s="7"/>
      <c r="S11" s="7"/>
      <c r="T11" s="7"/>
    </row>
    <row r="12" spans="1:20" x14ac:dyDescent="0.2">
      <c r="A12" s="15">
        <f>AdjPrice!A12</f>
        <v>44743</v>
      </c>
      <c r="B12" s="7">
        <f>AdjPrice!B12/AdjPrice!B11-1</f>
        <v>9.3468583540639694E-2</v>
      </c>
      <c r="C12" s="7">
        <f>AdjPrice!C12/AdjPrice!C11-1</f>
        <v>3.6427292277405154E-2</v>
      </c>
      <c r="D12" s="7">
        <f>AdjPrice!D12/AdjPrice!D11-1</f>
        <v>8.615970535327544E-2</v>
      </c>
      <c r="E12" s="7">
        <f>AdjPrice!E12/AdjPrice!E11-1</f>
        <v>2.3818232526936489E-2</v>
      </c>
      <c r="F12" s="7">
        <f>AdjPrice!F12/AdjPrice!F11-1</f>
        <v>3.2183884556463038E-2</v>
      </c>
      <c r="G12" s="7">
        <f>AdjPrice!G12/AdjPrice!G11-1</f>
        <v>8.8160998488073794E-4</v>
      </c>
      <c r="H12" s="7">
        <f>AdjPrice!H12/AdjPrice!H11-1</f>
        <v>6.9837951775659546E-2</v>
      </c>
      <c r="I12" s="7">
        <f>SUMPRODUCT(B12:H12, Weights!$B$3:$H$3)</f>
        <v>4.9464343202892683E-2</v>
      </c>
      <c r="J12" s="7">
        <f>SUMPRODUCT(B12:H12, Weights!$B$4:$H$4)</f>
        <v>5.1430064076170325E-2</v>
      </c>
      <c r="K12" s="7">
        <f t="shared" si="2"/>
        <v>-1.9657208732776418E-3</v>
      </c>
      <c r="L12" s="7">
        <f t="shared" si="3"/>
        <v>93.161371931663282</v>
      </c>
      <c r="M12" s="7">
        <f t="shared" si="4"/>
        <v>91.610643238502831</v>
      </c>
      <c r="N12" s="7">
        <f t="shared" si="5"/>
        <v>104.03568702293479</v>
      </c>
      <c r="O12" s="7">
        <f t="shared" si="0"/>
        <v>-0.10452485490747276</v>
      </c>
      <c r="P12" s="7">
        <f t="shared" si="6"/>
        <v>103.77544505024299</v>
      </c>
      <c r="Q12" s="7">
        <f t="shared" si="1"/>
        <v>-0.11722235260808145</v>
      </c>
      <c r="R12" s="7"/>
      <c r="S12" s="7"/>
      <c r="T12" s="7"/>
    </row>
    <row r="13" spans="1:20" x14ac:dyDescent="0.2">
      <c r="A13" s="15">
        <f>AdjPrice!A13</f>
        <v>44774</v>
      </c>
      <c r="B13" s="7">
        <f>AdjPrice!B13/AdjPrice!B12-1</f>
        <v>-3.728509362054544E-2</v>
      </c>
      <c r="C13" s="7">
        <f>AdjPrice!C13/AdjPrice!C12-1</f>
        <v>-4.4868634861514156E-2</v>
      </c>
      <c r="D13" s="7">
        <f>AdjPrice!D13/AdjPrice!D12-1</f>
        <v>-6.0125223629999724E-2</v>
      </c>
      <c r="E13" s="7">
        <f>AdjPrice!E13/AdjPrice!E12-1</f>
        <v>-2.7975094617167962E-2</v>
      </c>
      <c r="F13" s="7">
        <f>AdjPrice!F13/AdjPrice!F12-1</f>
        <v>-3.6069075663630046E-2</v>
      </c>
      <c r="G13" s="7">
        <f>AdjPrice!G13/AdjPrice!G12-1</f>
        <v>1.2816783916780317E-3</v>
      </c>
      <c r="H13" s="7">
        <f>AdjPrice!H13/AdjPrice!H12-1</f>
        <v>-4.0525494708169685E-2</v>
      </c>
      <c r="I13" s="7">
        <f>SUMPRODUCT(B13:H13, Weights!$B$3:$H$3)</f>
        <v>-3.580289681247445E-2</v>
      </c>
      <c r="J13" s="7">
        <f>SUMPRODUCT(B13:H13, Weights!$B$4:$H$4)</f>
        <v>-3.5505334671768994E-2</v>
      </c>
      <c r="K13" s="7">
        <f t="shared" si="2"/>
        <v>-2.9756214070545545E-4</v>
      </c>
      <c r="L13" s="7">
        <f t="shared" si="3"/>
        <v>89.825924945485397</v>
      </c>
      <c r="M13" s="7">
        <f t="shared" si="4"/>
        <v>88.357976690823762</v>
      </c>
      <c r="N13" s="7">
        <f t="shared" si="5"/>
        <v>104.03568702293479</v>
      </c>
      <c r="O13" s="7">
        <f t="shared" si="0"/>
        <v>-0.13658545912535602</v>
      </c>
      <c r="P13" s="7">
        <f t="shared" si="6"/>
        <v>103.77544505024299</v>
      </c>
      <c r="Q13" s="7">
        <f t="shared" si="1"/>
        <v>-0.14856566841948837</v>
      </c>
      <c r="R13" s="7"/>
      <c r="S13" s="7"/>
      <c r="T13" s="7"/>
    </row>
    <row r="14" spans="1:20" x14ac:dyDescent="0.2">
      <c r="A14" s="15">
        <f>AdjPrice!A14</f>
        <v>44805</v>
      </c>
      <c r="B14" s="7">
        <f>AdjPrice!B14/AdjPrice!B13-1</f>
        <v>-9.2304765764069097E-2</v>
      </c>
      <c r="C14" s="7">
        <f>AdjPrice!C14/AdjPrice!C13-1</f>
        <v>-9.9058002168850856E-2</v>
      </c>
      <c r="D14" s="7">
        <f>AdjPrice!D14/AdjPrice!D13-1</f>
        <v>-0.12871322773643912</v>
      </c>
      <c r="E14" s="7">
        <f>AdjPrice!E14/AdjPrice!E13-1</f>
        <v>-4.1829987611130437E-2</v>
      </c>
      <c r="F14" s="7">
        <f>AdjPrice!F14/AdjPrice!F13-1</f>
        <v>-2.8930914323116674E-2</v>
      </c>
      <c r="G14" s="7">
        <f>AdjPrice!G14/AdjPrice!G13-1</f>
        <v>2.8205762482702568E-4</v>
      </c>
      <c r="H14" s="7">
        <f>AdjPrice!H14/AdjPrice!H13-1</f>
        <v>-9.52895760342366E-2</v>
      </c>
      <c r="I14" s="7">
        <f>SUMPRODUCT(B14:H14, Weights!$B$3:$H$3)</f>
        <v>-6.7680745090554092E-2</v>
      </c>
      <c r="J14" s="7">
        <f>SUMPRODUCT(B14:H14, Weights!$B$4:$H$4)</f>
        <v>-7.3905740664994127E-2</v>
      </c>
      <c r="K14" s="7">
        <f t="shared" si="2"/>
        <v>6.2249955744400343E-3</v>
      </c>
      <c r="L14" s="7">
        <f t="shared" si="3"/>
        <v>83.746439416726759</v>
      </c>
      <c r="M14" s="7">
        <f t="shared" si="4"/>
        <v>81.827814979828148</v>
      </c>
      <c r="N14" s="7">
        <f t="shared" si="5"/>
        <v>104.03568702293479</v>
      </c>
      <c r="O14" s="7">
        <f t="shared" si="0"/>
        <v>-0.19502199857377067</v>
      </c>
      <c r="P14" s="7">
        <f t="shared" si="6"/>
        <v>103.77544505024299</v>
      </c>
      <c r="Q14" s="7">
        <f t="shared" si="1"/>
        <v>-0.21149155332255021</v>
      </c>
      <c r="R14" s="7">
        <f>L14/L2-1</f>
        <v>-0.16253560583273241</v>
      </c>
      <c r="S14" s="7">
        <f>M14/M2-1</f>
        <v>-0.18172185020171849</v>
      </c>
      <c r="T14" s="7"/>
    </row>
    <row r="15" spans="1:20" x14ac:dyDescent="0.2">
      <c r="A15" s="15">
        <f>AdjPrice!A15</f>
        <v>44835</v>
      </c>
      <c r="B15" s="7">
        <f>AdjPrice!B15/AdjPrice!B14-1</f>
        <v>8.1127682035314175E-2</v>
      </c>
      <c r="C15" s="7">
        <f>AdjPrice!C15/AdjPrice!C14-1</f>
        <v>3.4083376151212708E-2</v>
      </c>
      <c r="D15" s="7">
        <f>AdjPrice!D15/AdjPrice!D14-1</f>
        <v>3.505059769793939E-2</v>
      </c>
      <c r="E15" s="7">
        <f>AdjPrice!E15/AdjPrice!E14-1</f>
        <v>-1.1577458594664747E-2</v>
      </c>
      <c r="F15" s="7">
        <f>AdjPrice!F15/AdjPrice!F14-1</f>
        <v>5.4535180011017204E-3</v>
      </c>
      <c r="G15" s="7">
        <f>AdjPrice!G15/AdjPrice!G14-1</f>
        <v>1.5576915613824127E-3</v>
      </c>
      <c r="H15" s="7">
        <f>AdjPrice!H15/AdjPrice!H14-1</f>
        <v>6.3767729441257304E-2</v>
      </c>
      <c r="I15" s="7">
        <f>SUMPRODUCT(B15:H15, Weights!$B$3:$H$3)</f>
        <v>2.6322161401139344E-2</v>
      </c>
      <c r="J15" s="7">
        <f>SUMPRODUCT(B15:H15, Weights!$B$4:$H$4)</f>
        <v>3.3629654226888482E-2</v>
      </c>
      <c r="K15" s="7">
        <f t="shared" si="2"/>
        <v>-7.307492825749138E-3</v>
      </c>
      <c r="L15" s="7">
        <f t="shared" si="3"/>
        <v>85.950826711824575</v>
      </c>
      <c r="M15" s="7">
        <f t="shared" si="4"/>
        <v>84.579656103741584</v>
      </c>
      <c r="N15" s="7">
        <f t="shared" si="5"/>
        <v>104.03568702293479</v>
      </c>
      <c r="O15" s="7">
        <f t="shared" si="0"/>
        <v>-0.1738332376958629</v>
      </c>
      <c r="P15" s="7">
        <f t="shared" si="6"/>
        <v>103.77544505024299</v>
      </c>
      <c r="Q15" s="7">
        <f t="shared" si="1"/>
        <v>-0.18497428690580653</v>
      </c>
      <c r="R15" s="7"/>
      <c r="S15" s="7"/>
      <c r="T15" s="7"/>
    </row>
    <row r="16" spans="1:20" x14ac:dyDescent="0.2">
      <c r="A16" s="15">
        <f>AdjPrice!A16</f>
        <v>44866</v>
      </c>
      <c r="B16" s="7">
        <f>AdjPrice!B16/AdjPrice!B15-1</f>
        <v>5.1692937559211005E-2</v>
      </c>
      <c r="C16" s="7">
        <f>AdjPrice!C16/AdjPrice!C15-1</f>
        <v>0.13036139089506271</v>
      </c>
      <c r="D16" s="7">
        <f>AdjPrice!D16/AdjPrice!D15-1</f>
        <v>6.1460652678176242E-2</v>
      </c>
      <c r="E16" s="7">
        <f>AdjPrice!E16/AdjPrice!E15-1</f>
        <v>3.6659010523601765E-2</v>
      </c>
      <c r="F16" s="7">
        <f>AdjPrice!F16/AdjPrice!F15-1</f>
        <v>2.4307286638252767E-2</v>
      </c>
      <c r="G16" s="7">
        <f>AdjPrice!G16/AdjPrice!G15-1</f>
        <v>3.3900987944088801E-3</v>
      </c>
      <c r="H16" s="7">
        <f>AdjPrice!H16/AdjPrice!H15-1</f>
        <v>8.2826949791527937E-2</v>
      </c>
      <c r="I16" s="7">
        <f>SUMPRODUCT(B16:H16, Weights!$B$3:$H$3)</f>
        <v>5.3436809384418665E-2</v>
      </c>
      <c r="J16" s="7">
        <f>SUMPRODUCT(B16:H16, Weights!$B$4:$H$4)</f>
        <v>6.4359774084357474E-2</v>
      </c>
      <c r="K16" s="7">
        <f t="shared" si="2"/>
        <v>-1.0922964699938809E-2</v>
      </c>
      <c r="L16" s="7">
        <f t="shared" si="3"/>
        <v>90.543764655257547</v>
      </c>
      <c r="M16" s="7">
        <f t="shared" si="4"/>
        <v>90.023183662711048</v>
      </c>
      <c r="N16" s="7">
        <f t="shared" si="5"/>
        <v>104.03568702293479</v>
      </c>
      <c r="O16" s="7">
        <f t="shared" si="0"/>
        <v>-0.12968552189887439</v>
      </c>
      <c r="P16" s="7">
        <f t="shared" si="6"/>
        <v>103.77544505024299</v>
      </c>
      <c r="Q16" s="7">
        <f t="shared" si="1"/>
        <v>-0.13251941613812179</v>
      </c>
      <c r="R16" s="7"/>
      <c r="S16" s="7"/>
      <c r="T16" s="7"/>
    </row>
    <row r="17" spans="1:20" x14ac:dyDescent="0.2">
      <c r="A17" s="15">
        <f>AdjPrice!A17</f>
        <v>44896</v>
      </c>
      <c r="B17" s="7">
        <f>AdjPrice!B17/AdjPrice!B16-1</f>
        <v>-5.8552458312784772E-2</v>
      </c>
      <c r="C17" s="7">
        <f>AdjPrice!C17/AdjPrice!C16-1</f>
        <v>-2.1447961700303719E-2</v>
      </c>
      <c r="D17" s="7">
        <f>AdjPrice!D17/AdjPrice!D16-1</f>
        <v>-5.034355729175588E-2</v>
      </c>
      <c r="E17" s="7">
        <f>AdjPrice!E17/AdjPrice!E16-1</f>
        <v>-8.060321313588914E-3</v>
      </c>
      <c r="F17" s="7">
        <f>AdjPrice!F17/AdjPrice!F16-1</f>
        <v>-2.7490646342886227E-2</v>
      </c>
      <c r="G17" s="7">
        <f>AdjPrice!G17/AdjPrice!G16-1</f>
        <v>3.8581509796846714E-3</v>
      </c>
      <c r="H17" s="7">
        <f>AdjPrice!H17/AdjPrice!H16-1</f>
        <v>-4.4373975577801983E-2</v>
      </c>
      <c r="I17" s="7">
        <f>SUMPRODUCT(B17:H17, Weights!$B$3:$H$3)</f>
        <v>-2.9238450358942715E-2</v>
      </c>
      <c r="J17" s="7">
        <f>SUMPRODUCT(B17:H17, Weights!$B$4:$H$4)</f>
        <v>-2.9848513872116754E-2</v>
      </c>
      <c r="K17" s="7">
        <f t="shared" si="2"/>
        <v>6.1006351317403895E-4</v>
      </c>
      <c r="L17" s="7">
        <f t="shared" si="3"/>
        <v>87.896405287073009</v>
      </c>
      <c r="M17" s="7">
        <f t="shared" si="4"/>
        <v>87.336125416342512</v>
      </c>
      <c r="N17" s="7">
        <f t="shared" si="5"/>
        <v>104.03568702293479</v>
      </c>
      <c r="O17" s="7">
        <f t="shared" si="0"/>
        <v>-0.1551321685635032</v>
      </c>
      <c r="P17" s="7">
        <f t="shared" si="6"/>
        <v>103.77544505024299</v>
      </c>
      <c r="Q17" s="7">
        <f t="shared" si="1"/>
        <v>-0.15841242237931497</v>
      </c>
      <c r="R17" s="7"/>
      <c r="S17" s="7"/>
      <c r="T17" s="7"/>
    </row>
    <row r="18" spans="1:20" x14ac:dyDescent="0.2">
      <c r="A18" s="15">
        <f>AdjPrice!A18</f>
        <v>44927</v>
      </c>
      <c r="B18" s="7">
        <f>AdjPrice!B18/AdjPrice!B17-1</f>
        <v>6.9250508446767611E-2</v>
      </c>
      <c r="C18" s="7">
        <f>AdjPrice!C18/AdjPrice!C17-1</f>
        <v>8.6813378567889066E-2</v>
      </c>
      <c r="D18" s="7">
        <f>AdjPrice!D18/AdjPrice!D17-1</f>
        <v>0.10402521271754717</v>
      </c>
      <c r="E18" s="7">
        <f>AdjPrice!E18/AdjPrice!E17-1</f>
        <v>3.3129159350998805E-2</v>
      </c>
      <c r="F18" s="7">
        <f>AdjPrice!F18/AdjPrice!F17-1</f>
        <v>2.3613454188468941E-2</v>
      </c>
      <c r="G18" s="7">
        <f>AdjPrice!G18/AdjPrice!G17-1</f>
        <v>3.2750542179684761E-3</v>
      </c>
      <c r="H18" s="7">
        <f>AdjPrice!H18/AdjPrice!H17-1</f>
        <v>7.6459262526419103E-2</v>
      </c>
      <c r="I18" s="7">
        <f>SUMPRODUCT(B18:H18, Weights!$B$3:$H$3)</f>
        <v>5.4381673813098393E-2</v>
      </c>
      <c r="J18" s="7">
        <f>SUMPRODUCT(B18:H18, Weights!$B$4:$H$4)</f>
        <v>5.9127221256250986E-2</v>
      </c>
      <c r="K18" s="7">
        <f t="shared" si="2"/>
        <v>-4.7455474431525937E-3</v>
      </c>
      <c r="L18" s="7">
        <f t="shared" si="3"/>
        <v>92.676358928738509</v>
      </c>
      <c r="M18" s="7">
        <f t="shared" si="4"/>
        <v>92.500067827498285</v>
      </c>
      <c r="N18" s="7">
        <f t="shared" si="5"/>
        <v>104.03568702293479</v>
      </c>
      <c r="O18" s="7">
        <f t="shared" si="0"/>
        <v>-0.10918684173914384</v>
      </c>
      <c r="P18" s="7">
        <f t="shared" si="6"/>
        <v>103.77544505024299</v>
      </c>
      <c r="Q18" s="7">
        <f t="shared" si="1"/>
        <v>-0.10865168747082432</v>
      </c>
      <c r="R18" s="7"/>
      <c r="S18" s="7"/>
      <c r="T18" s="7"/>
    </row>
    <row r="19" spans="1:20" x14ac:dyDescent="0.2">
      <c r="A19" s="15">
        <f>AdjPrice!A19</f>
        <v>44958</v>
      </c>
      <c r="B19" s="7">
        <f>AdjPrice!B19/AdjPrice!B18-1</f>
        <v>-2.4018098435740209E-2</v>
      </c>
      <c r="C19" s="7">
        <f>AdjPrice!C19/AdjPrice!C18-1</f>
        <v>-4.2696845764307767E-2</v>
      </c>
      <c r="D19" s="7">
        <f>AdjPrice!D19/AdjPrice!D18-1</f>
        <v>-5.8642468870473197E-2</v>
      </c>
      <c r="E19" s="7">
        <f>AdjPrice!E19/AdjPrice!E18-1</f>
        <v>-2.6659723060442397E-2</v>
      </c>
      <c r="F19" s="7">
        <f>AdjPrice!F19/AdjPrice!F18-1</f>
        <v>-1.4993551018522844E-2</v>
      </c>
      <c r="G19" s="7">
        <f>AdjPrice!G19/AdjPrice!G18-1</f>
        <v>2.9114458867791626E-3</v>
      </c>
      <c r="H19" s="7">
        <f>AdjPrice!H19/AdjPrice!H18-1</f>
        <v>-3.1795903410767101E-2</v>
      </c>
      <c r="I19" s="7">
        <f>SUMPRODUCT(B19:H19, Weights!$B$3:$H$3)</f>
        <v>-2.8374675637200725E-2</v>
      </c>
      <c r="J19" s="7">
        <f>SUMPRODUCT(B19:H19, Weights!$B$4:$H$4)</f>
        <v>-2.974143127063722E-2</v>
      </c>
      <c r="K19" s="7">
        <f t="shared" si="2"/>
        <v>1.366755633436495E-3</v>
      </c>
      <c r="L19" s="7">
        <f t="shared" si="3"/>
        <v>90.046697304898757</v>
      </c>
      <c r="M19" s="7">
        <f t="shared" si="4"/>
        <v>89.748983417677465</v>
      </c>
      <c r="N19" s="7">
        <f t="shared" si="5"/>
        <v>104.03568702293479</v>
      </c>
      <c r="O19" s="7">
        <f t="shared" si="0"/>
        <v>-0.13446337615814608</v>
      </c>
      <c r="P19" s="7">
        <f t="shared" si="6"/>
        <v>103.77544505024299</v>
      </c>
      <c r="Q19" s="7">
        <f t="shared" si="1"/>
        <v>-0.13516166204610924</v>
      </c>
      <c r="R19" s="7"/>
      <c r="S19" s="7"/>
      <c r="T19" s="7"/>
    </row>
    <row r="20" spans="1:20" x14ac:dyDescent="0.2">
      <c r="A20" s="15">
        <f>AdjPrice!A20</f>
        <v>44986</v>
      </c>
      <c r="B20" s="7">
        <f>AdjPrice!B20/AdjPrice!B19-1</f>
        <v>2.7071181324740845E-2</v>
      </c>
      <c r="C20" s="7">
        <f>AdjPrice!C20/AdjPrice!C19-1</f>
        <v>2.839536053488434E-2</v>
      </c>
      <c r="D20" s="7">
        <f>AdjPrice!D20/AdjPrice!D19-1</f>
        <v>-2.1554731820559336E-2</v>
      </c>
      <c r="E20" s="7">
        <f>AdjPrice!E20/AdjPrice!E19-1</f>
        <v>2.6756924141141614E-2</v>
      </c>
      <c r="F20" s="7">
        <f>AdjPrice!F20/AdjPrice!F19-1</f>
        <v>2.5555140466851256E-2</v>
      </c>
      <c r="G20" s="7">
        <f>AdjPrice!G20/AdjPrice!G19-1</f>
        <v>5.0939865449384225E-3</v>
      </c>
      <c r="H20" s="7">
        <f>AdjPrice!H20/AdjPrice!H19-1</f>
        <v>2.8501933749440767E-2</v>
      </c>
      <c r="I20" s="7">
        <f>SUMPRODUCT(B20:H20, Weights!$B$3:$H$3)</f>
        <v>2.0986673868979022E-2</v>
      </c>
      <c r="J20" s="7">
        <f>SUMPRODUCT(B20:H20, Weights!$B$4:$H$4)</f>
        <v>2.7803929906121107E-2</v>
      </c>
      <c r="K20" s="7">
        <f t="shared" si="2"/>
        <v>-6.8172560371420853E-3</v>
      </c>
      <c r="L20" s="7">
        <f t="shared" si="3"/>
        <v>91.936477974215336</v>
      </c>
      <c r="M20" s="7">
        <f t="shared" si="4"/>
        <v>92.244357861768194</v>
      </c>
      <c r="N20" s="7">
        <f t="shared" si="5"/>
        <v>104.03568702293479</v>
      </c>
      <c r="O20" s="7">
        <f t="shared" si="0"/>
        <v>-0.11629864131191991</v>
      </c>
      <c r="P20" s="7">
        <f t="shared" si="6"/>
        <v>103.77544505024299</v>
      </c>
      <c r="Q20" s="7">
        <f t="shared" si="1"/>
        <v>-0.11111575751751301</v>
      </c>
      <c r="R20" s="7"/>
      <c r="S20" s="7"/>
      <c r="T20" s="7"/>
    </row>
    <row r="21" spans="1:20" x14ac:dyDescent="0.2">
      <c r="A21" s="15">
        <f>AdjPrice!A21</f>
        <v>45017</v>
      </c>
      <c r="B21" s="7">
        <f>AdjPrice!B21/AdjPrice!B20-1</f>
        <v>1.0778999748704887E-2</v>
      </c>
      <c r="C21" s="7">
        <f>AdjPrice!C21/AdjPrice!C20-1</f>
        <v>1.8837237096807069E-2</v>
      </c>
      <c r="D21" s="7">
        <f>AdjPrice!D21/AdjPrice!D20-1</f>
        <v>3.1311449127893187E-3</v>
      </c>
      <c r="E21" s="7">
        <f>AdjPrice!E21/AdjPrice!E20-1</f>
        <v>5.8793230811111652E-3</v>
      </c>
      <c r="F21" s="7">
        <f>AdjPrice!F21/AdjPrice!F20-1</f>
        <v>2.0879379270197784E-3</v>
      </c>
      <c r="G21" s="7">
        <f>AdjPrice!G21/AdjPrice!G20-1</f>
        <v>3.0965986297659676E-3</v>
      </c>
      <c r="H21" s="7">
        <f>AdjPrice!H21/AdjPrice!H20-1</f>
        <v>1.422553025027451E-2</v>
      </c>
      <c r="I21" s="7">
        <f>SUMPRODUCT(B21:H21, Weights!$B$3:$H$3)</f>
        <v>8.0652675378508291E-3</v>
      </c>
      <c r="J21" s="7">
        <f>SUMPRODUCT(B21:H21, Weights!$B$4:$H$4)</f>
        <v>1.0887047382609172E-2</v>
      </c>
      <c r="K21" s="7">
        <f t="shared" si="2"/>
        <v>-2.8217798447583431E-3</v>
      </c>
      <c r="L21" s="7">
        <f t="shared" si="3"/>
        <v>92.677970265565108</v>
      </c>
      <c r="M21" s="7">
        <f t="shared" si="4"/>
        <v>93.248626556587624</v>
      </c>
      <c r="N21" s="7">
        <f t="shared" si="5"/>
        <v>104.03568702293479</v>
      </c>
      <c r="O21" s="7">
        <f t="shared" si="0"/>
        <v>-0.1091713534305383</v>
      </c>
      <c r="P21" s="7">
        <f t="shared" si="6"/>
        <v>103.77544505024299</v>
      </c>
      <c r="Q21" s="7">
        <f t="shared" si="1"/>
        <v>-0.10143843265195152</v>
      </c>
      <c r="R21" s="7"/>
      <c r="S21" s="7"/>
      <c r="T21" s="7"/>
    </row>
    <row r="22" spans="1:20" x14ac:dyDescent="0.2">
      <c r="A22" s="15">
        <f>AdjPrice!A22</f>
        <v>45047</v>
      </c>
      <c r="B22" s="7">
        <f>AdjPrice!B22/AdjPrice!B21-1</f>
        <v>4.2654039811416133E-3</v>
      </c>
      <c r="C22" s="7">
        <f>AdjPrice!C22/AdjPrice!C21-1</f>
        <v>-3.5022251348912459E-2</v>
      </c>
      <c r="D22" s="7">
        <f>AdjPrice!D22/AdjPrice!D21-1</f>
        <v>-3.9616071417298504E-2</v>
      </c>
      <c r="E22" s="7">
        <f>AdjPrice!E22/AdjPrice!E21-1</f>
        <v>-1.1637620300827711E-2</v>
      </c>
      <c r="F22" s="7">
        <f>AdjPrice!F22/AdjPrice!F21-1</f>
        <v>1.4324946048114295E-3</v>
      </c>
      <c r="G22" s="7">
        <f>AdjPrice!G22/AdjPrice!G21-1</f>
        <v>3.2531627186471734E-3</v>
      </c>
      <c r="H22" s="7">
        <f>AdjPrice!H22/AdjPrice!H21-1</f>
        <v>-1.2098819204844125E-2</v>
      </c>
      <c r="I22" s="7">
        <f>SUMPRODUCT(B22:H22, Weights!$B$3:$H$3)</f>
        <v>-1.1262347612375555E-2</v>
      </c>
      <c r="J22" s="7">
        <f>SUMPRODUCT(B22:H22, Weights!$B$4:$H$4)</f>
        <v>-1.191433964323756E-2</v>
      </c>
      <c r="K22" s="7">
        <f t="shared" si="2"/>
        <v>6.5199203086200447E-4</v>
      </c>
      <c r="L22" s="7">
        <f t="shared" si="3"/>
        <v>91.634198748424907</v>
      </c>
      <c r="M22" s="7">
        <f t="shared" si="4"/>
        <v>92.137630748527016</v>
      </c>
      <c r="N22" s="7">
        <f t="shared" si="5"/>
        <v>104.03568702293479</v>
      </c>
      <c r="O22" s="7">
        <f t="shared" si="0"/>
        <v>-0.1192041753112657</v>
      </c>
      <c r="P22" s="7">
        <f t="shared" si="6"/>
        <v>103.77544505024299</v>
      </c>
      <c r="Q22" s="7">
        <f t="shared" si="1"/>
        <v>-0.11214420035569606</v>
      </c>
      <c r="R22" s="7"/>
      <c r="S22" s="7"/>
      <c r="T22" s="7"/>
    </row>
    <row r="23" spans="1:20" x14ac:dyDescent="0.2">
      <c r="A23" s="15">
        <f>AdjPrice!A23</f>
        <v>45078</v>
      </c>
      <c r="B23" s="7">
        <f>AdjPrice!B23/AdjPrice!B22-1</f>
        <v>6.7287088808555495E-2</v>
      </c>
      <c r="C23" s="7">
        <f>AdjPrice!C23/AdjPrice!C22-1</f>
        <v>4.4362583386026833E-2</v>
      </c>
      <c r="D23" s="7">
        <f>AdjPrice!D23/AdjPrice!D22-1</f>
        <v>5.6294592452672321E-2</v>
      </c>
      <c r="E23" s="7">
        <f>AdjPrice!E23/AdjPrice!E22-1</f>
        <v>-2.2371691108602487E-3</v>
      </c>
      <c r="F23" s="7">
        <f>AdjPrice!F23/AdjPrice!F22-1</f>
        <v>6.087385316710936E-5</v>
      </c>
      <c r="G23" s="7">
        <f>AdjPrice!G23/AdjPrice!G22-1</f>
        <v>4.7482368120683738E-3</v>
      </c>
      <c r="H23" s="7">
        <f>AdjPrice!H23/AdjPrice!H22-1</f>
        <v>5.8079767256301373E-2</v>
      </c>
      <c r="I23" s="7">
        <f>SUMPRODUCT(B23:H23, Weights!$B$3:$H$3)</f>
        <v>2.8681011140630545E-2</v>
      </c>
      <c r="J23" s="7">
        <f>SUMPRODUCT(B23:H23, Weights!$B$4:$H$4)</f>
        <v>3.3952992709436726E-2</v>
      </c>
      <c r="K23" s="7">
        <f t="shared" si="2"/>
        <v>-5.2719815688061812E-3</v>
      </c>
      <c r="L23" s="7">
        <f t="shared" si="3"/>
        <v>94.262360223591244</v>
      </c>
      <c r="M23" s="7">
        <f t="shared" si="4"/>
        <v>95.265979053596524</v>
      </c>
      <c r="N23" s="7">
        <f t="shared" si="5"/>
        <v>104.03568702293479</v>
      </c>
      <c r="O23" s="7">
        <f t="shared" si="0"/>
        <v>-9.3942060450747156E-2</v>
      </c>
      <c r="P23" s="7">
        <f t="shared" si="6"/>
        <v>103.77544505024299</v>
      </c>
      <c r="Q23" s="7">
        <f t="shared" si="1"/>
        <v>-8.1998838863341916E-2</v>
      </c>
      <c r="R23" s="7"/>
      <c r="S23" s="7"/>
      <c r="T23" s="7"/>
    </row>
    <row r="24" spans="1:20" x14ac:dyDescent="0.2">
      <c r="A24" s="15">
        <f>AdjPrice!A24</f>
        <v>45108</v>
      </c>
      <c r="B24" s="7">
        <f>AdjPrice!B24/AdjPrice!B23-1</f>
        <v>3.6635470784714519E-2</v>
      </c>
      <c r="C24" s="7">
        <f>AdjPrice!C24/AdjPrice!C23-1</f>
        <v>3.8873099905415431E-2</v>
      </c>
      <c r="D24" s="7">
        <f>AdjPrice!D24/AdjPrice!D23-1</f>
        <v>2.0344748905805954E-2</v>
      </c>
      <c r="E24" s="7">
        <f>AdjPrice!E24/AdjPrice!E23-1</f>
        <v>-1.1860740283794469E-3</v>
      </c>
      <c r="F24" s="7">
        <f>AdjPrice!F24/AdjPrice!F23-1</f>
        <v>-1.2700790447492949E-3</v>
      </c>
      <c r="G24" s="7">
        <f>AdjPrice!G24/AdjPrice!G23-1</f>
        <v>3.8363138602586222E-3</v>
      </c>
      <c r="H24" s="7">
        <f>AdjPrice!H24/AdjPrice!H23-1</f>
        <v>3.7224108531094924E-2</v>
      </c>
      <c r="I24" s="7">
        <f>SUMPRODUCT(B24:H24, Weights!$B$3:$H$3)</f>
        <v>1.6669789200358245E-2</v>
      </c>
      <c r="J24" s="7">
        <f>SUMPRODUCT(B24:H24, Weights!$B$4:$H$4)</f>
        <v>2.1860035507305173E-2</v>
      </c>
      <c r="K24" s="7">
        <f t="shared" si="2"/>
        <v>-5.1902463069469287E-3</v>
      </c>
      <c r="L24" s="7">
        <f t="shared" si="3"/>
        <v>95.833693898046747</v>
      </c>
      <c r="M24" s="7">
        <f t="shared" si="4"/>
        <v>97.348496738346327</v>
      </c>
      <c r="N24" s="7">
        <f t="shared" si="5"/>
        <v>104.03568702293479</v>
      </c>
      <c r="O24" s="7">
        <f t="shared" si="0"/>
        <v>-7.883826559515017E-2</v>
      </c>
      <c r="P24" s="7">
        <f t="shared" si="6"/>
        <v>103.77544505024299</v>
      </c>
      <c r="Q24" s="7">
        <f t="shared" si="1"/>
        <v>-6.1931300885147311E-2</v>
      </c>
      <c r="R24" s="7"/>
      <c r="S24" s="7"/>
      <c r="T24" s="7"/>
    </row>
    <row r="25" spans="1:20" x14ac:dyDescent="0.2">
      <c r="A25" s="15">
        <f>AdjPrice!A25</f>
        <v>45139</v>
      </c>
      <c r="B25" s="7">
        <f>AdjPrice!B25/AdjPrice!B24-1</f>
        <v>-1.9312644968351722E-2</v>
      </c>
      <c r="C25" s="7">
        <f>AdjPrice!C25/AdjPrice!C24-1</f>
        <v>-4.3940991448433109E-2</v>
      </c>
      <c r="D25" s="7">
        <f>AdjPrice!D25/AdjPrice!D24-1</f>
        <v>-3.3779055820515658E-2</v>
      </c>
      <c r="E25" s="7">
        <f>AdjPrice!E25/AdjPrice!E24-1</f>
        <v>-6.6038310863031358E-3</v>
      </c>
      <c r="F25" s="7">
        <f>AdjPrice!F25/AdjPrice!F24-1</f>
        <v>2.096199225659845E-3</v>
      </c>
      <c r="G25" s="7">
        <f>AdjPrice!G25/AdjPrice!G24-1</f>
        <v>4.7920161343435463E-3</v>
      </c>
      <c r="H25" s="7">
        <f>AdjPrice!H25/AdjPrice!H24-1</f>
        <v>-2.8432212542821578E-2</v>
      </c>
      <c r="I25" s="7">
        <f>SUMPRODUCT(B25:H25, Weights!$B$3:$H$3)</f>
        <v>-1.6224334176729246E-2</v>
      </c>
      <c r="J25" s="7">
        <f>SUMPRODUCT(B25:H25, Weights!$B$4:$H$4)</f>
        <v>-1.9700859960214201E-2</v>
      </c>
      <c r="K25" s="7">
        <f t="shared" si="2"/>
        <v>3.4765257834849551E-3</v>
      </c>
      <c r="L25" s="7">
        <f t="shared" si="3"/>
        <v>94.27885602285447</v>
      </c>
      <c r="M25" s="7">
        <f t="shared" si="4"/>
        <v>95.430647636766793</v>
      </c>
      <c r="N25" s="7">
        <f t="shared" si="5"/>
        <v>104.03568702293479</v>
      </c>
      <c r="O25" s="7">
        <f t="shared" si="0"/>
        <v>-9.3783501404949843E-2</v>
      </c>
      <c r="P25" s="7">
        <f t="shared" si="6"/>
        <v>103.77544505024299</v>
      </c>
      <c r="Q25" s="7">
        <f t="shared" si="1"/>
        <v>-8.0412060959469289E-2</v>
      </c>
      <c r="R25" s="7"/>
      <c r="S25" s="7"/>
      <c r="T25" s="7"/>
    </row>
    <row r="26" spans="1:20" x14ac:dyDescent="0.2">
      <c r="A26" s="15">
        <f>AdjPrice!A26</f>
        <v>45170</v>
      </c>
      <c r="B26" s="7">
        <f>AdjPrice!B26/AdjPrice!B25-1</f>
        <v>-4.8010789717536917E-2</v>
      </c>
      <c r="C26" s="7">
        <f>AdjPrice!C26/AdjPrice!C25-1</f>
        <v>-3.4019213242743152E-2</v>
      </c>
      <c r="D26" s="7">
        <f>AdjPrice!D26/AdjPrice!D25-1</f>
        <v>-7.2637695314246464E-2</v>
      </c>
      <c r="E26" s="7">
        <f>AdjPrice!E26/AdjPrice!E25-1</f>
        <v>-2.479276844531908E-2</v>
      </c>
      <c r="F26" s="7">
        <f>AdjPrice!F26/AdjPrice!F25-1</f>
        <v>-1.7481360134588897E-2</v>
      </c>
      <c r="G26" s="7">
        <f>AdjPrice!G26/AdjPrice!G25-1</f>
        <v>3.9166645637915831E-3</v>
      </c>
      <c r="H26" s="7">
        <f>AdjPrice!H26/AdjPrice!H25-1</f>
        <v>-4.2547891319619002E-2</v>
      </c>
      <c r="I26" s="7">
        <f>SUMPRODUCT(B26:H26, Weights!$B$3:$H$3)</f>
        <v>-3.4233550272814828E-2</v>
      </c>
      <c r="J26" s="7">
        <f>SUMPRODUCT(B26:H26, Weights!$B$4:$H$4)</f>
        <v>-3.5445842169899031E-2</v>
      </c>
      <c r="K26" s="7">
        <f t="shared" si="2"/>
        <v>1.2122918970842028E-3</v>
      </c>
      <c r="L26" s="7">
        <f t="shared" si="3"/>
        <v>91.051356065532616</v>
      </c>
      <c r="M26" s="7">
        <f t="shared" si="4"/>
        <v>92.048027962462712</v>
      </c>
      <c r="N26" s="7">
        <f t="shared" si="5"/>
        <v>104.03568702293479</v>
      </c>
      <c r="O26" s="7">
        <f t="shared" si="0"/>
        <v>-0.12480650946765759</v>
      </c>
      <c r="P26" s="7">
        <f t="shared" si="6"/>
        <v>103.77544505024299</v>
      </c>
      <c r="Q26" s="7">
        <f t="shared" si="1"/>
        <v>-0.11300762990804269</v>
      </c>
      <c r="R26" s="7"/>
      <c r="S26" s="7"/>
      <c r="T26" s="7"/>
    </row>
    <row r="27" spans="1:20" x14ac:dyDescent="0.2">
      <c r="A27" s="15">
        <f>AdjPrice!A27</f>
        <v>45200</v>
      </c>
      <c r="B27" s="7">
        <f>AdjPrice!B27/AdjPrice!B26-1</f>
        <v>-2.6458374571681431E-2</v>
      </c>
      <c r="C27" s="7">
        <f>AdjPrice!C27/AdjPrice!C26-1</f>
        <v>-3.3632543827018746E-2</v>
      </c>
      <c r="D27" s="7">
        <f>AdjPrice!D27/AdjPrice!D26-1</f>
        <v>-3.6214709293916458E-2</v>
      </c>
      <c r="E27" s="7">
        <f>AdjPrice!E27/AdjPrice!E26-1</f>
        <v>-1.5203807827309679E-2</v>
      </c>
      <c r="F27" s="7">
        <f>AdjPrice!F27/AdjPrice!F26-1</f>
        <v>-1.4869347898788243E-3</v>
      </c>
      <c r="G27" s="7">
        <f>AdjPrice!G27/AdjPrice!G26-1</f>
        <v>4.4997486789937202E-3</v>
      </c>
      <c r="H27" s="7">
        <f>AdjPrice!H27/AdjPrice!H26-1</f>
        <v>-2.9190673246298537E-2</v>
      </c>
      <c r="I27" s="7">
        <f>SUMPRODUCT(B27:H27, Weights!$B$3:$H$3)</f>
        <v>-1.9840141279089858E-2</v>
      </c>
      <c r="J27" s="7">
        <f>SUMPRODUCT(B27:H27, Weights!$B$4:$H$4)</f>
        <v>-2.3595927078702991E-2</v>
      </c>
      <c r="K27" s="7">
        <f t="shared" si="2"/>
        <v>3.7557857996131337E-3</v>
      </c>
      <c r="L27" s="7">
        <f t="shared" si="3"/>
        <v>89.244884297539741</v>
      </c>
      <c r="M27" s="7">
        <f t="shared" si="4"/>
        <v>89.876069406922028</v>
      </c>
      <c r="N27" s="7">
        <f t="shared" si="5"/>
        <v>104.03568702293479</v>
      </c>
      <c r="O27" s="7">
        <f t="shared" si="0"/>
        <v>-0.14217047196635901</v>
      </c>
      <c r="P27" s="7">
        <f t="shared" si="6"/>
        <v>103.77544505024299</v>
      </c>
      <c r="Q27" s="7">
        <f t="shared" si="1"/>
        <v>-0.13393703719209848</v>
      </c>
      <c r="R27" s="7"/>
      <c r="S27" s="7"/>
      <c r="T27" s="7"/>
    </row>
    <row r="28" spans="1:20" x14ac:dyDescent="0.2">
      <c r="A28" s="15">
        <f>AdjPrice!A28</f>
        <v>45231</v>
      </c>
      <c r="B28" s="7">
        <f>AdjPrice!B28/AdjPrice!B27-1</f>
        <v>9.4153585435277742E-2</v>
      </c>
      <c r="C28" s="7">
        <f>AdjPrice!C28/AdjPrice!C27-1</f>
        <v>8.2366713749660203E-2</v>
      </c>
      <c r="D28" s="7">
        <f>AdjPrice!D28/AdjPrice!D27-1</f>
        <v>0.12081764740224021</v>
      </c>
      <c r="E28" s="7">
        <f>AdjPrice!E28/AdjPrice!E27-1</f>
        <v>4.5413866840428474E-2</v>
      </c>
      <c r="F28" s="7">
        <f>AdjPrice!F28/AdjPrice!F27-1</f>
        <v>3.4330764234818067E-2</v>
      </c>
      <c r="G28" s="7">
        <f>AdjPrice!G28/AdjPrice!G27-1</f>
        <v>5.0709477861246022E-3</v>
      </c>
      <c r="H28" s="7">
        <f>AdjPrice!H28/AdjPrice!H27-1</f>
        <v>9.0095114985865532E-2</v>
      </c>
      <c r="I28" s="7">
        <f>SUMPRODUCT(B28:H28, Weights!$B$3:$H$3)</f>
        <v>6.700249023814997E-2</v>
      </c>
      <c r="J28" s="7">
        <f>SUMPRODUCT(B28:H28, Weights!$B$4:$H$4)</f>
        <v>7.2222615727690703E-2</v>
      </c>
      <c r="K28" s="7">
        <f t="shared" si="2"/>
        <v>-5.2201254895407334E-3</v>
      </c>
      <c r="L28" s="7">
        <f t="shared" si="3"/>
        <v>95.224513786490476</v>
      </c>
      <c r="M28" s="7">
        <f t="shared" si="4"/>
        <v>96.367154230813412</v>
      </c>
      <c r="N28" s="7">
        <f t="shared" si="5"/>
        <v>104.03568702293479</v>
      </c>
      <c r="O28" s="7">
        <f t="shared" si="0"/>
        <v>-8.4693757388288216E-2</v>
      </c>
      <c r="P28" s="7">
        <f t="shared" si="6"/>
        <v>103.77544505024299</v>
      </c>
      <c r="Q28" s="7">
        <f t="shared" si="1"/>
        <v>-7.138770463323818E-2</v>
      </c>
      <c r="R28" s="7"/>
      <c r="S28" s="7"/>
      <c r="T28" s="7"/>
    </row>
    <row r="29" spans="1:20" x14ac:dyDescent="0.2">
      <c r="A29" s="15">
        <f>AdjPrice!A29</f>
        <v>45261</v>
      </c>
      <c r="B29" s="7">
        <f>AdjPrice!B29/AdjPrice!B28-1</f>
        <v>5.2938868260867356E-2</v>
      </c>
      <c r="C29" s="7">
        <f>AdjPrice!C29/AdjPrice!C28-1</f>
        <v>5.0931524700547293E-2</v>
      </c>
      <c r="D29" s="7">
        <f>AdjPrice!D29/AdjPrice!D28-1</f>
        <v>9.4453338682127796E-2</v>
      </c>
      <c r="E29" s="7">
        <f>AdjPrice!E29/AdjPrice!E28-1</f>
        <v>3.5553466748428519E-2</v>
      </c>
      <c r="F29" s="7">
        <f>AdjPrice!F29/AdjPrice!F28-1</f>
        <v>3.2202858449001059E-2</v>
      </c>
      <c r="G29" s="7">
        <f>AdjPrice!G29/AdjPrice!G28-1</f>
        <v>4.8183130658632223E-3</v>
      </c>
      <c r="H29" s="7">
        <f>AdjPrice!H29/AdjPrice!H28-1</f>
        <v>5.157515317835637E-2</v>
      </c>
      <c r="I29" s="7">
        <f>SUMPRODUCT(B29:H29, Weights!$B$3:$H$3)</f>
        <v>4.6057164083683592E-2</v>
      </c>
      <c r="J29" s="7">
        <f>SUMPRODUCT(B29:H29, Weights!$B$4:$H$4)</f>
        <v>4.516647860638523E-2</v>
      </c>
      <c r="K29" s="7">
        <f t="shared" si="2"/>
        <v>8.9068547729836273E-4</v>
      </c>
      <c r="L29" s="7">
        <f t="shared" si="3"/>
        <v>99.610284842743852</v>
      </c>
      <c r="M29" s="7">
        <f t="shared" si="4"/>
        <v>100.71971924073767</v>
      </c>
      <c r="N29" s="7">
        <f t="shared" si="5"/>
        <v>104.03568702293479</v>
      </c>
      <c r="O29" s="7">
        <f t="shared" si="0"/>
        <v>-4.2537347585500762E-2</v>
      </c>
      <c r="P29" s="7">
        <f t="shared" si="6"/>
        <v>103.77544505024299</v>
      </c>
      <c r="Q29" s="7">
        <f t="shared" si="1"/>
        <v>-2.9445557260929012E-2</v>
      </c>
      <c r="R29" s="7"/>
      <c r="S29" s="7"/>
      <c r="T29" s="7"/>
    </row>
    <row r="30" spans="1:20" x14ac:dyDescent="0.2">
      <c r="A30" s="15">
        <f>AdjPrice!A30</f>
        <v>45292</v>
      </c>
      <c r="B30" s="7">
        <f>AdjPrice!B30/AdjPrice!B29-1</f>
        <v>1.1171028435362995E-2</v>
      </c>
      <c r="C30" s="7">
        <f>AdjPrice!C30/AdjPrice!C29-1</f>
        <v>-1.7080617411384003E-2</v>
      </c>
      <c r="D30" s="7">
        <f>AdjPrice!D30/AdjPrice!D29-1</f>
        <v>-5.0588587383562755E-2</v>
      </c>
      <c r="E30" s="7">
        <f>AdjPrice!E30/AdjPrice!E29-1</f>
        <v>-1.6318854604976396E-3</v>
      </c>
      <c r="F30" s="7">
        <f>AdjPrice!F30/AdjPrice!F29-1</f>
        <v>-5.8738510978488812E-3</v>
      </c>
      <c r="G30" s="7">
        <f>AdjPrice!G30/AdjPrice!G29-1</f>
        <v>3.9951497818850878E-3</v>
      </c>
      <c r="H30" s="7">
        <f>AdjPrice!H30/AdjPrice!H29-1</f>
        <v>0</v>
      </c>
      <c r="I30" s="7">
        <f>SUMPRODUCT(B30:H30, Weights!$B$3:$H$3)</f>
        <v>-5.9990800549554971E-3</v>
      </c>
      <c r="J30" s="7">
        <f>SUMPRODUCT(B30:H30, Weights!$B$4:$H$4)</f>
        <v>-6.5275418419905593E-4</v>
      </c>
      <c r="K30" s="7">
        <f t="shared" si="2"/>
        <v>-5.3463258707564416E-3</v>
      </c>
      <c r="L30" s="7">
        <f t="shared" si="3"/>
        <v>99.012714769675313</v>
      </c>
      <c r="M30" s="7">
        <f t="shared" si="4"/>
        <v>100.65397402257193</v>
      </c>
      <c r="N30" s="7">
        <f t="shared" si="5"/>
        <v>104.03568702293479</v>
      </c>
      <c r="O30" s="7">
        <f t="shared" si="0"/>
        <v>-4.828124268696532E-2</v>
      </c>
      <c r="P30" s="7">
        <f t="shared" si="6"/>
        <v>103.77544505024299</v>
      </c>
      <c r="Q30" s="7">
        <f t="shared" si="1"/>
        <v>-3.0079090734419833E-2</v>
      </c>
      <c r="R30" s="7"/>
      <c r="S30" s="7"/>
      <c r="T30" s="7"/>
    </row>
    <row r="31" spans="1:20" x14ac:dyDescent="0.2">
      <c r="A31" s="15">
        <f>AdjPrice!A31</f>
        <v>45323</v>
      </c>
      <c r="B31" s="7">
        <f>AdjPrice!B31/AdjPrice!B30-1</f>
        <v>5.2987025328993465E-2</v>
      </c>
      <c r="C31" s="7">
        <f>AdjPrice!C31/AdjPrice!C30-1</f>
        <v>2.9138076643052679E-2</v>
      </c>
      <c r="D31" s="7">
        <f>AdjPrice!D31/AdjPrice!D30-1</f>
        <v>1.9787880086414855E-2</v>
      </c>
      <c r="E31" s="7">
        <f>AdjPrice!E31/AdjPrice!E30-1</f>
        <v>-1.3630586896607788E-2</v>
      </c>
      <c r="F31" s="7">
        <f>AdjPrice!F31/AdjPrice!F30-1</f>
        <v>-5.3883980692248645E-3</v>
      </c>
      <c r="G31" s="7">
        <f>AdjPrice!G31/AdjPrice!G30-1</f>
        <v>3.9329979443298857E-3</v>
      </c>
      <c r="H31" s="7">
        <f>AdjPrice!H31/AdjPrice!H30-1</f>
        <v>4.4906583072685358E-2</v>
      </c>
      <c r="I31" s="7">
        <f>SUMPRODUCT(B31:H31, Weights!$B$3:$H$3)</f>
        <v>1.4895469955198181E-2</v>
      </c>
      <c r="J31" s="7">
        <f>SUMPRODUCT(B31:H31, Weights!$B$4:$H$4)</f>
        <v>2.1491715084968097E-2</v>
      </c>
      <c r="K31" s="7">
        <f t="shared" si="2"/>
        <v>-6.5962451297699159E-3</v>
      </c>
      <c r="L31" s="7">
        <f t="shared" si="3"/>
        <v>100.48755568770962</v>
      </c>
      <c r="M31" s="7">
        <f t="shared" si="4"/>
        <v>102.81720055443482</v>
      </c>
      <c r="N31" s="7">
        <f t="shared" si="5"/>
        <v>104.03568702293479</v>
      </c>
      <c r="O31" s="7">
        <f t="shared" si="0"/>
        <v>-3.4104944531610504E-2</v>
      </c>
      <c r="P31" s="7">
        <f t="shared" si="6"/>
        <v>103.77544505024299</v>
      </c>
      <c r="Q31" s="7">
        <f t="shared" si="1"/>
        <v>-9.233826897530939E-3</v>
      </c>
      <c r="R31" s="7"/>
      <c r="S31" s="7"/>
      <c r="T31" s="7"/>
    </row>
    <row r="32" spans="1:20" x14ac:dyDescent="0.2">
      <c r="A32" s="15">
        <f>AdjPrice!A32</f>
        <v>45352</v>
      </c>
      <c r="B32" s="7">
        <f>AdjPrice!B32/AdjPrice!B31-1</f>
        <v>3.2597088851656686E-2</v>
      </c>
      <c r="C32" s="7">
        <f>AdjPrice!C32/AdjPrice!C31-1</f>
        <v>3.2345449139092874E-2</v>
      </c>
      <c r="D32" s="7">
        <f>AdjPrice!D32/AdjPrice!D31-1</f>
        <v>1.9510553858945956E-2</v>
      </c>
      <c r="E32" s="7">
        <f>AdjPrice!E32/AdjPrice!E31-1</f>
        <v>8.4976740571223175E-3</v>
      </c>
      <c r="F32" s="7">
        <f>AdjPrice!F32/AdjPrice!F31-1</f>
        <v>1.1203349276893038E-2</v>
      </c>
      <c r="G32" s="7">
        <f>AdjPrice!G32/AdjPrice!G31-1</f>
        <v>4.1604005685214052E-3</v>
      </c>
      <c r="H32" s="7">
        <f>AdjPrice!H32/AdjPrice!H31-1</f>
        <v>3.1891153472118461E-2</v>
      </c>
      <c r="I32" s="7">
        <f>SUMPRODUCT(B32:H32, Weights!$B$3:$H$3)</f>
        <v>1.9389969606769419E-2</v>
      </c>
      <c r="J32" s="7">
        <f>SUMPRODUCT(B32:H32, Weights!$B$4:$H$4)</f>
        <v>2.2533761706120002E-2</v>
      </c>
      <c r="K32" s="7">
        <f t="shared" si="2"/>
        <v>-3.1437920993505827E-3</v>
      </c>
      <c r="L32" s="7">
        <f t="shared" si="3"/>
        <v>102.43600633835285</v>
      </c>
      <c r="M32" s="7">
        <f t="shared" si="4"/>
        <v>105.13405885101881</v>
      </c>
      <c r="N32" s="7">
        <f t="shared" si="5"/>
        <v>104.03568702293479</v>
      </c>
      <c r="O32" s="7">
        <f t="shared" si="0"/>
        <v>-1.5376268762749556E-2</v>
      </c>
      <c r="P32" s="7">
        <f t="shared" si="6"/>
        <v>105.13405885101881</v>
      </c>
      <c r="Q32" s="7">
        <f t="shared" si="1"/>
        <v>0</v>
      </c>
      <c r="R32" s="7"/>
      <c r="S32" s="7"/>
      <c r="T32" s="7"/>
    </row>
    <row r="33" spans="1:20" x14ac:dyDescent="0.2">
      <c r="A33" s="15">
        <f>AdjPrice!A33</f>
        <v>45383</v>
      </c>
      <c r="B33" s="7">
        <f>AdjPrice!B33/AdjPrice!B32-1</f>
        <v>-4.3439791542458916E-2</v>
      </c>
      <c r="C33" s="7">
        <f>AdjPrice!C33/AdjPrice!C32-1</f>
        <v>-2.321720873597044E-2</v>
      </c>
      <c r="D33" s="7">
        <f>AdjPrice!D33/AdjPrice!D32-1</f>
        <v>-7.9440538748241307E-2</v>
      </c>
      <c r="E33" s="7">
        <f>AdjPrice!E33/AdjPrice!E32-1</f>
        <v>-2.4083378432314895E-2</v>
      </c>
      <c r="F33" s="7">
        <f>AdjPrice!F33/AdjPrice!F32-1</f>
        <v>-1.4032751247768038E-2</v>
      </c>
      <c r="G33" s="7">
        <f>AdjPrice!G33/AdjPrice!G32-1</f>
        <v>3.7436970898701016E-3</v>
      </c>
      <c r="H33" s="7">
        <f>AdjPrice!H33/AdjPrice!H32-1</f>
        <v>-3.5837083372268541E-2</v>
      </c>
      <c r="I33" s="7">
        <f>SUMPRODUCT(B33:H33, Weights!$B$3:$H$3)</f>
        <v>-3.1429324433200595E-2</v>
      </c>
      <c r="J33" s="7">
        <f>SUMPRODUCT(B33:H33, Weights!$B$4:$H$4)</f>
        <v>-3.1135601396287082E-2</v>
      </c>
      <c r="K33" s="7">
        <f t="shared" si="2"/>
        <v>-2.9372303691351312E-4</v>
      </c>
      <c r="L33" s="7">
        <f t="shared" si="3"/>
        <v>99.216511861503378</v>
      </c>
      <c r="M33" s="7">
        <f t="shared" si="4"/>
        <v>101.86064670145969</v>
      </c>
      <c r="N33" s="7">
        <f t="shared" si="5"/>
        <v>104.03568702293479</v>
      </c>
      <c r="O33" s="7">
        <f t="shared" si="0"/>
        <v>-4.6322327456433499E-2</v>
      </c>
      <c r="P33" s="7">
        <f t="shared" si="6"/>
        <v>105.13405885101881</v>
      </c>
      <c r="Q33" s="7">
        <f t="shared" si="1"/>
        <v>-3.1135601396287238E-2</v>
      </c>
      <c r="R33" s="7"/>
      <c r="S33" s="7"/>
      <c r="T33" s="7"/>
    </row>
    <row r="34" spans="1:20" x14ac:dyDescent="0.2">
      <c r="A34" s="15">
        <f>AdjPrice!A34</f>
        <v>45413</v>
      </c>
      <c r="B34" s="7">
        <f>AdjPrice!B34/AdjPrice!B33-1</f>
        <v>4.7584528804899273E-2</v>
      </c>
      <c r="C34" s="7">
        <f>AdjPrice!C34/AdjPrice!C33-1</f>
        <v>4.0237731574417568E-2</v>
      </c>
      <c r="D34" s="7">
        <f>AdjPrice!D34/AdjPrice!D33-1</f>
        <v>4.5597431644612607E-2</v>
      </c>
      <c r="E34" s="7">
        <f>AdjPrice!E34/AdjPrice!E33-1</f>
        <v>1.6804569063680885E-2</v>
      </c>
      <c r="F34" s="7">
        <f>AdjPrice!F34/AdjPrice!F33-1</f>
        <v>2.8767122929589384E-3</v>
      </c>
      <c r="G34" s="7">
        <f>AdjPrice!G34/AdjPrice!G33-1</f>
        <v>4.5814449141743374E-3</v>
      </c>
      <c r="H34" s="7">
        <f>AdjPrice!H34/AdjPrice!H33-1</f>
        <v>4.5992213193028597E-2</v>
      </c>
      <c r="I34" s="7">
        <f>SUMPRODUCT(B34:H34, Weights!$B$3:$H$3)</f>
        <v>2.819348491060554E-2</v>
      </c>
      <c r="J34" s="7">
        <f>SUMPRODUCT(B34:H34, Weights!$B$4:$H$4)</f>
        <v>3.4317155541289515E-2</v>
      </c>
      <c r="K34" s="7">
        <f t="shared" si="2"/>
        <v>-6.123670630683975E-3</v>
      </c>
      <c r="L34" s="7">
        <f t="shared" si="3"/>
        <v>102.01377109155359</v>
      </c>
      <c r="M34" s="7">
        <f t="shared" si="4"/>
        <v>105.35621435785002</v>
      </c>
      <c r="N34" s="7">
        <f t="shared" si="5"/>
        <v>104.03568702293479</v>
      </c>
      <c r="O34" s="7">
        <f t="shared" si="0"/>
        <v>-1.9434830385995028E-2</v>
      </c>
      <c r="P34" s="7">
        <f t="shared" si="6"/>
        <v>105.35621435785002</v>
      </c>
      <c r="Q34" s="7">
        <f t="shared" si="1"/>
        <v>0</v>
      </c>
      <c r="R34" s="7"/>
      <c r="S34" s="7"/>
      <c r="T34" s="7"/>
    </row>
    <row r="35" spans="1:20" x14ac:dyDescent="0.2">
      <c r="A35" s="15">
        <f>AdjPrice!A35</f>
        <v>45444</v>
      </c>
      <c r="B35" s="7">
        <f>AdjPrice!B35/AdjPrice!B34-1</f>
        <v>3.0789319626694622E-2</v>
      </c>
      <c r="C35" s="7">
        <f>AdjPrice!C35/AdjPrice!C34-1</f>
        <v>-7.9473997502016447E-3</v>
      </c>
      <c r="D35" s="7">
        <f>AdjPrice!D35/AdjPrice!D34-1</f>
        <v>1.8755810789875538E-2</v>
      </c>
      <c r="E35" s="7">
        <f>AdjPrice!E35/AdjPrice!E34-1</f>
        <v>8.8072205594600383E-3</v>
      </c>
      <c r="F35" s="7">
        <f>AdjPrice!F35/AdjPrice!F34-1</f>
        <v>6.3268604505883896E-3</v>
      </c>
      <c r="G35" s="7">
        <f>AdjPrice!G35/AdjPrice!G34-1</f>
        <v>4.1985164676849873E-3</v>
      </c>
      <c r="H35" s="7">
        <f>AdjPrice!H35/AdjPrice!H34-1</f>
        <v>1.586017812578655E-2</v>
      </c>
      <c r="I35" s="7">
        <f>SUMPRODUCT(B35:H35, Weights!$B$3:$H$3)</f>
        <v>1.2181922081941483E-2</v>
      </c>
      <c r="J35" s="7">
        <f>SUMPRODUCT(B35:H35, Weights!$B$4:$H$4)</f>
        <v>1.3038995099255945E-2</v>
      </c>
      <c r="K35" s="7">
        <f t="shared" si="2"/>
        <v>-8.5707301731446223E-4</v>
      </c>
      <c r="L35" s="7">
        <f t="shared" si="3"/>
        <v>103.25649490227592</v>
      </c>
      <c r="M35" s="7">
        <f t="shared" si="4"/>
        <v>106.72995352053819</v>
      </c>
      <c r="N35" s="7">
        <f t="shared" si="5"/>
        <v>104.03568702293479</v>
      </c>
      <c r="O35" s="7">
        <f t="shared" si="0"/>
        <v>-7.4896618934914283E-3</v>
      </c>
      <c r="P35" s="7">
        <f t="shared" si="6"/>
        <v>106.72995352053819</v>
      </c>
      <c r="Q35" s="7">
        <f t="shared" si="1"/>
        <v>0</v>
      </c>
      <c r="R35" s="7"/>
      <c r="S35" s="7"/>
      <c r="T35" s="7"/>
    </row>
    <row r="36" spans="1:20" x14ac:dyDescent="0.2">
      <c r="A36" s="15">
        <f>AdjPrice!A36</f>
        <v>45474</v>
      </c>
      <c r="B36" s="7">
        <f>AdjPrice!B36/AdjPrice!B35-1</f>
        <v>1.8915099276232139E-2</v>
      </c>
      <c r="C36" s="7">
        <f>AdjPrice!C36/AdjPrice!C35-1</f>
        <v>2.6202326278156773E-2</v>
      </c>
      <c r="D36" s="7">
        <f>AdjPrice!D36/AdjPrice!D35-1</f>
        <v>7.9393767865453935E-2</v>
      </c>
      <c r="E36" s="7">
        <f>AdjPrice!E36/AdjPrice!E35-1</f>
        <v>2.3541934385830077E-2</v>
      </c>
      <c r="F36" s="7">
        <f>AdjPrice!F36/AdjPrice!F35-1</f>
        <v>2.1265483949117092E-2</v>
      </c>
      <c r="G36" s="7">
        <f>AdjPrice!G36/AdjPrice!G35-1</f>
        <v>4.5985038915656862E-3</v>
      </c>
      <c r="H36" s="7">
        <f>AdjPrice!H36/AdjPrice!H35-1</f>
        <v>1.9799325440940763E-2</v>
      </c>
      <c r="I36" s="7">
        <f>SUMPRODUCT(B36:H36, Weights!$B$3:$H$3)</f>
        <v>2.7080828650021812E-2</v>
      </c>
      <c r="J36" s="7">
        <f>SUMPRODUCT(B36:H36, Weights!$B$4:$H$4)</f>
        <v>2.1296369018896488E-2</v>
      </c>
      <c r="K36" s="7">
        <f t="shared" si="2"/>
        <v>5.7844596311253244E-3</v>
      </c>
      <c r="L36" s="7">
        <f t="shared" si="3"/>
        <v>106.05276634772629</v>
      </c>
      <c r="M36" s="7">
        <f t="shared" si="4"/>
        <v>109.00291399608125</v>
      </c>
      <c r="N36" s="7">
        <f t="shared" si="5"/>
        <v>106.05276634772629</v>
      </c>
      <c r="O36" s="7">
        <f t="shared" si="0"/>
        <v>0</v>
      </c>
      <c r="P36" s="7">
        <f t="shared" si="6"/>
        <v>109.00291399608125</v>
      </c>
      <c r="Q36" s="7">
        <f t="shared" si="1"/>
        <v>0</v>
      </c>
      <c r="R36" s="7"/>
      <c r="S36" s="7"/>
      <c r="T36" s="7"/>
    </row>
    <row r="37" spans="1:20" x14ac:dyDescent="0.2">
      <c r="A37" s="15">
        <f>AdjPrice!A37</f>
        <v>45505</v>
      </c>
      <c r="B37" s="7">
        <f>AdjPrice!B37/AdjPrice!B36-1</f>
        <v>2.1315710049017111E-2</v>
      </c>
      <c r="C37" s="7">
        <f>AdjPrice!C37/AdjPrice!C36-1</f>
        <v>2.4078950233185514E-2</v>
      </c>
      <c r="D37" s="7">
        <f>AdjPrice!D37/AdjPrice!D36-1</f>
        <v>5.22063574924021E-2</v>
      </c>
      <c r="E37" s="7">
        <f>AdjPrice!E37/AdjPrice!E36-1</f>
        <v>1.4516578279457404E-2</v>
      </c>
      <c r="F37" s="7">
        <f>AdjPrice!F37/AdjPrice!F36-1</f>
        <v>5.0694132998443386E-3</v>
      </c>
      <c r="G37" s="7">
        <f>AdjPrice!G37/AdjPrice!G36-1</f>
        <v>4.979613545844197E-3</v>
      </c>
      <c r="H37" s="7">
        <f>AdjPrice!H37/AdjPrice!H36-1</f>
        <v>2.3332757113556868E-2</v>
      </c>
      <c r="I37" s="7">
        <f>SUMPRODUCT(B37:H37, Weights!$B$3:$H$3)</f>
        <v>1.9525771952578399E-2</v>
      </c>
      <c r="J37" s="7">
        <f>SUMPRODUCT(B37:H37, Weights!$B$4:$H$4)</f>
        <v>1.9806285579917083E-2</v>
      </c>
      <c r="K37" s="7">
        <f t="shared" si="2"/>
        <v>-2.8051362733868407E-4</v>
      </c>
      <c r="L37" s="7">
        <f t="shared" si="3"/>
        <v>108.12352847837207</v>
      </c>
      <c r="M37" s="7">
        <f t="shared" si="4"/>
        <v>111.16185683973077</v>
      </c>
      <c r="N37" s="7">
        <f t="shared" si="5"/>
        <v>108.12352847837207</v>
      </c>
      <c r="O37" s="7">
        <f t="shared" si="0"/>
        <v>0</v>
      </c>
      <c r="P37" s="7">
        <f t="shared" si="6"/>
        <v>111.16185683973077</v>
      </c>
      <c r="Q37" s="7">
        <f t="shared" si="1"/>
        <v>0</v>
      </c>
      <c r="R37" s="7"/>
      <c r="S37" s="7"/>
      <c r="T37" s="7"/>
    </row>
    <row r="38" spans="1:20" x14ac:dyDescent="0.2">
      <c r="A38" s="15">
        <f>AdjPrice!A38</f>
        <v>45536</v>
      </c>
      <c r="B38" s="7">
        <f>AdjPrice!B38/AdjPrice!B37-1</f>
        <v>2.0308747469571564E-2</v>
      </c>
      <c r="C38" s="7">
        <f>AdjPrice!C38/AdjPrice!C37-1</f>
        <v>2.5993260361459436E-2</v>
      </c>
      <c r="D38" s="7">
        <f>AdjPrice!D38/AdjPrice!D37-1</f>
        <v>3.2696744055323856E-2</v>
      </c>
      <c r="E38" s="7">
        <f>AdjPrice!E38/AdjPrice!E37-1</f>
        <v>1.3165341509400852E-2</v>
      </c>
      <c r="F38" s="7">
        <f>AdjPrice!F38/AdjPrice!F37-1</f>
        <v>1.250551992429827E-2</v>
      </c>
      <c r="G38" s="7">
        <f>AdjPrice!G38/AdjPrice!G37-1</f>
        <v>4.5856481525063941E-3</v>
      </c>
      <c r="H38" s="7">
        <f>AdjPrice!H38/AdjPrice!H37-1</f>
        <v>2.1965106402162649E-2</v>
      </c>
      <c r="I38" s="7">
        <f>SUMPRODUCT(B38:H38, Weights!$B$3:$H$3)</f>
        <v>1.8300563176234505E-2</v>
      </c>
      <c r="J38" s="7">
        <f>SUMPRODUCT(B38:H38, Weights!$B$4:$H$4)</f>
        <v>1.844520044505793E-2</v>
      </c>
      <c r="K38" s="7">
        <f t="shared" si="2"/>
        <v>-1.4463726882342487E-4</v>
      </c>
      <c r="L38" s="7">
        <f t="shared" si="3"/>
        <v>110.10224994212791</v>
      </c>
      <c r="M38" s="7">
        <f t="shared" si="4"/>
        <v>113.21225957098444</v>
      </c>
      <c r="N38" s="7">
        <f t="shared" si="5"/>
        <v>110.10224994212791</v>
      </c>
      <c r="O38" s="7">
        <f t="shared" si="0"/>
        <v>0</v>
      </c>
      <c r="P38" s="7">
        <f t="shared" si="6"/>
        <v>113.21225957098444</v>
      </c>
      <c r="Q38" s="7">
        <f t="shared" si="1"/>
        <v>0</v>
      </c>
      <c r="R38" s="7"/>
      <c r="S38" s="7"/>
      <c r="T38" s="7"/>
    </row>
    <row r="39" spans="1:20" x14ac:dyDescent="0.2">
      <c r="A39" s="15">
        <f>AdjPrice!A39</f>
        <v>45566</v>
      </c>
      <c r="B39" s="7">
        <f>AdjPrice!B39/AdjPrice!B38-1</f>
        <v>-7.5223888504710734E-3</v>
      </c>
      <c r="C39" s="7">
        <f>AdjPrice!C39/AdjPrice!C38-1</f>
        <v>-4.46402641487601E-2</v>
      </c>
      <c r="D39" s="7">
        <f>AdjPrice!D39/AdjPrice!D38-1</f>
        <v>-3.3565924435741135E-2</v>
      </c>
      <c r="E39" s="7">
        <f>AdjPrice!E39/AdjPrice!E38-1</f>
        <v>-2.4556494417355634E-2</v>
      </c>
      <c r="F39" s="7">
        <f>AdjPrice!F39/AdjPrice!F38-1</f>
        <v>-7.2336068552870669E-3</v>
      </c>
      <c r="G39" s="7">
        <f>AdjPrice!G39/AdjPrice!G38-1</f>
        <v>3.576062732892682E-3</v>
      </c>
      <c r="H39" s="7">
        <f>AdjPrice!H39/AdjPrice!H38-1</f>
        <v>-2.1804512618821548E-2</v>
      </c>
      <c r="I39" s="7">
        <f>SUMPRODUCT(B39:H39, Weights!$B$3:$H$3)</f>
        <v>-2.0206415495361011E-2</v>
      </c>
      <c r="J39" s="7">
        <f>SUMPRODUCT(B39:H39, Weights!$B$4:$H$4)</f>
        <v>-2.2905305338235184E-2</v>
      </c>
      <c r="K39" s="7">
        <f t="shared" si="2"/>
        <v>2.6988898428741727E-3</v>
      </c>
      <c r="L39" s="7">
        <f t="shared" si="3"/>
        <v>107.87747813282319</v>
      </c>
      <c r="M39" s="7">
        <f t="shared" si="4"/>
        <v>110.6190981974795</v>
      </c>
      <c r="N39" s="7">
        <f t="shared" si="5"/>
        <v>110.10224994212791</v>
      </c>
      <c r="O39" s="7">
        <f t="shared" si="0"/>
        <v>-2.0206415495361063E-2</v>
      </c>
      <c r="P39" s="7">
        <f t="shared" si="6"/>
        <v>113.21225957098444</v>
      </c>
      <c r="Q39" s="7">
        <f t="shared" si="1"/>
        <v>-2.2905305338235205E-2</v>
      </c>
      <c r="R39" s="7"/>
      <c r="S39" s="7"/>
      <c r="T39" s="7"/>
    </row>
    <row r="40" spans="1:20" x14ac:dyDescent="0.2">
      <c r="A40" s="15">
        <f>AdjPrice!A40</f>
        <v>45597</v>
      </c>
      <c r="B40" s="7">
        <f>AdjPrice!B40/AdjPrice!B39-1</f>
        <v>6.7003395612173389E-2</v>
      </c>
      <c r="C40" s="7">
        <f>AdjPrice!C40/AdjPrice!C39-1</f>
        <v>-2.2633938429417189E-3</v>
      </c>
      <c r="D40" s="7">
        <f>AdjPrice!D40/AdjPrice!D39-1</f>
        <v>4.2591547334795754E-2</v>
      </c>
      <c r="E40" s="7">
        <f>AdjPrice!E40/AdjPrice!E39-1</f>
        <v>1.068357384281704E-2</v>
      </c>
      <c r="F40" s="7">
        <f>AdjPrice!F40/AdjPrice!F39-1</f>
        <v>1.6652732626849298E-2</v>
      </c>
      <c r="G40" s="7">
        <f>AdjPrice!G40/AdjPrice!G39-1</f>
        <v>3.6966476736464138E-3</v>
      </c>
      <c r="H40" s="7">
        <f>AdjPrice!H40/AdjPrice!H39-1</f>
        <v>4.1421207695605977E-2</v>
      </c>
      <c r="I40" s="7">
        <f>SUMPRODUCT(B40:H40, Weights!$B$3:$H$3)</f>
        <v>2.6558308990636492E-2</v>
      </c>
      <c r="J40" s="7">
        <f>SUMPRODUCT(B40:H40, Weights!$B$4:$H$4)</f>
        <v>2.9126154154490404E-2</v>
      </c>
      <c r="K40" s="7">
        <f t="shared" si="2"/>
        <v>-2.5678451638539122E-3</v>
      </c>
      <c r="L40" s="7">
        <f t="shared" si="3"/>
        <v>110.74252153020534</v>
      </c>
      <c r="M40" s="7">
        <f t="shared" si="4"/>
        <v>113.84100710401002</v>
      </c>
      <c r="N40" s="7">
        <f t="shared" si="5"/>
        <v>110.74252153020534</v>
      </c>
      <c r="O40" s="7">
        <f t="shared" ref="O40:O62" si="7">L40/N40-1</f>
        <v>0</v>
      </c>
      <c r="P40" s="7">
        <f t="shared" si="6"/>
        <v>113.84100710401002</v>
      </c>
      <c r="Q40" s="7">
        <f t="shared" si="1"/>
        <v>0</v>
      </c>
      <c r="R40" s="7"/>
      <c r="S40" s="7"/>
      <c r="T40" s="7"/>
    </row>
    <row r="41" spans="1:20" x14ac:dyDescent="0.2">
      <c r="A41" s="15">
        <f>AdjPrice!A41</f>
        <v>45627</v>
      </c>
      <c r="B41" s="7">
        <f>AdjPrice!B41/AdjPrice!B40-1</f>
        <v>-3.0404399716825292E-2</v>
      </c>
      <c r="C41" s="7">
        <f>AdjPrice!C41/AdjPrice!C40-1</f>
        <v>-2.8729018403923501E-2</v>
      </c>
      <c r="D41" s="7">
        <f>AdjPrice!D41/AdjPrice!D40-1</f>
        <v>-8.3721788570352507E-2</v>
      </c>
      <c r="E41" s="7">
        <f>AdjPrice!E41/AdjPrice!E40-1</f>
        <v>-1.6809831846909651E-2</v>
      </c>
      <c r="F41" s="7">
        <f>AdjPrice!F41/AdjPrice!F40-1</f>
        <v>-7.6807356965475915E-3</v>
      </c>
      <c r="G41" s="7">
        <f>AdjPrice!G41/AdjPrice!G40-1</f>
        <v>4.0311612957912857E-3</v>
      </c>
      <c r="H41" s="7">
        <f>AdjPrice!H41/AdjPrice!H40-1</f>
        <v>-2.9363849384980933E-2</v>
      </c>
      <c r="I41" s="7">
        <f>SUMPRODUCT(B41:H41, Weights!$B$3:$H$3)</f>
        <v>-2.627613339059557E-2</v>
      </c>
      <c r="J41" s="7">
        <f>SUMPRODUCT(B41:H41, Weights!$B$4:$H$4)</f>
        <v>-2.434224236975242E-2</v>
      </c>
      <c r="K41" s="7">
        <f t="shared" si="2"/>
        <v>-1.9338910208431502E-3</v>
      </c>
      <c r="L41" s="7">
        <f t="shared" si="3"/>
        <v>107.83263626246676</v>
      </c>
      <c r="M41" s="7">
        <f t="shared" si="4"/>
        <v>111.06986171746749</v>
      </c>
      <c r="N41" s="7">
        <f t="shared" si="5"/>
        <v>110.74252153020534</v>
      </c>
      <c r="O41" s="7">
        <f t="shared" si="7"/>
        <v>-2.6276133390595535E-2</v>
      </c>
      <c r="P41" s="7">
        <f t="shared" si="6"/>
        <v>113.84100710401002</v>
      </c>
      <c r="Q41" s="7">
        <f t="shared" si="1"/>
        <v>-2.4342242369752465E-2</v>
      </c>
      <c r="R41" s="7"/>
      <c r="S41" s="7"/>
      <c r="T41" s="7"/>
    </row>
    <row r="42" spans="1:20" x14ac:dyDescent="0.2">
      <c r="A42" s="15">
        <f>AdjPrice!A42</f>
        <v>45658</v>
      </c>
      <c r="B42" s="7">
        <f>AdjPrice!B42/AdjPrice!B41-1</f>
        <v>3.0330120173676312E-2</v>
      </c>
      <c r="C42" s="7">
        <f>AdjPrice!C42/AdjPrice!C41-1</f>
        <v>3.3768897137615994E-2</v>
      </c>
      <c r="D42" s="7">
        <f>AdjPrice!D42/AdjPrice!D41-1</f>
        <v>1.6501992486327666E-2</v>
      </c>
      <c r="E42" s="7">
        <f>AdjPrice!E42/AdjPrice!E41-1</f>
        <v>5.9796659977495725E-3</v>
      </c>
      <c r="F42" s="7">
        <f>AdjPrice!F42/AdjPrice!F41-1</f>
        <v>2.44632545625878E-3</v>
      </c>
      <c r="G42" s="7">
        <f>AdjPrice!G42/AdjPrice!G41-1</f>
        <v>3.6327422949868904E-3</v>
      </c>
      <c r="H42" s="7">
        <f>AdjPrice!H42/AdjPrice!H41-1</f>
        <v>3.0558317723715644E-2</v>
      </c>
      <c r="I42" s="7">
        <f>SUMPRODUCT(B42:H42, Weights!$B$3:$H$3)</f>
        <v>1.6640549595207273E-2</v>
      </c>
      <c r="J42" s="7">
        <f>SUMPRODUCT(B42:H42, Weights!$B$4:$H$4)</f>
        <v>2.0726857033329216E-2</v>
      </c>
      <c r="K42" s="7">
        <f t="shared" si="2"/>
        <v>-4.0863074381219423E-3</v>
      </c>
      <c r="L42" s="7">
        <f t="shared" si="3"/>
        <v>109.6270305941743</v>
      </c>
      <c r="M42" s="7">
        <f t="shared" si="4"/>
        <v>113.37199086199709</v>
      </c>
      <c r="N42" s="7">
        <f t="shared" si="5"/>
        <v>110.74252153020534</v>
      </c>
      <c r="O42" s="7">
        <f>L42/N42-1</f>
        <v>-1.0072833096244627E-2</v>
      </c>
      <c r="P42" s="7">
        <f t="shared" si="6"/>
        <v>113.84100710401002</v>
      </c>
      <c r="Q42" s="7">
        <f t="shared" si="1"/>
        <v>-4.1199235138917878E-3</v>
      </c>
      <c r="R42" s="7"/>
      <c r="S42" s="7"/>
      <c r="T42" s="7"/>
    </row>
    <row r="43" spans="1:20" x14ac:dyDescent="0.2">
      <c r="A43" s="15">
        <f>AdjPrice!A43</f>
        <v>45689</v>
      </c>
      <c r="B43" s="7">
        <f>AdjPrice!B43/AdjPrice!B42-1</f>
        <v>-1.8888285600769272E-2</v>
      </c>
      <c r="C43" s="7">
        <f>AdjPrice!C43/AdjPrice!C42-1</f>
        <v>1.8548968551798772E-2</v>
      </c>
      <c r="D43" s="7">
        <f>AdjPrice!D43/AdjPrice!D42-1</f>
        <v>3.6996029105304418E-2</v>
      </c>
      <c r="E43" s="7">
        <f>AdjPrice!E43/AdjPrice!E42-1</f>
        <v>2.1565807622955679E-2</v>
      </c>
      <c r="F43" s="7">
        <f>AdjPrice!F43/AdjPrice!F42-1</f>
        <v>8.8249306981387221E-3</v>
      </c>
      <c r="G43" s="7">
        <f>AdjPrice!G43/AdjPrice!G42-1</f>
        <v>3.1150420936860712E-3</v>
      </c>
      <c r="H43" s="7">
        <f>AdjPrice!H43/AdjPrice!H42-1</f>
        <v>-4.1298204649885539E-3</v>
      </c>
      <c r="I43" s="7">
        <f>SUMPRODUCT(B43:H43, Weights!$B$3:$H$3)</f>
        <v>9.7091107893997556E-3</v>
      </c>
      <c r="J43" s="7">
        <f>SUMPRODUCT(B43:H43, Weights!$B$4:$H$4)</f>
        <v>6.1484307701891406E-3</v>
      </c>
      <c r="K43" s="7">
        <f t="shared" si="2"/>
        <v>3.560680019210615E-3</v>
      </c>
      <c r="L43" s="7">
        <f t="shared" si="3"/>
        <v>110.69141157972606</v>
      </c>
      <c r="M43" s="7">
        <f t="shared" si="4"/>
        <v>114.0690506990906</v>
      </c>
      <c r="N43" s="7">
        <f t="shared" si="5"/>
        <v>110.74252153020534</v>
      </c>
      <c r="O43" s="7">
        <f t="shared" si="7"/>
        <v>-4.6152055933934566E-4</v>
      </c>
      <c r="P43" s="7">
        <f t="shared" si="6"/>
        <v>114.0690506990906</v>
      </c>
      <c r="Q43" s="7">
        <f t="shared" si="1"/>
        <v>0</v>
      </c>
      <c r="R43" s="7"/>
      <c r="S43" s="7"/>
      <c r="T43" s="7"/>
    </row>
    <row r="44" spans="1:20" x14ac:dyDescent="0.2">
      <c r="A44" s="15">
        <f>AdjPrice!A44</f>
        <v>45717</v>
      </c>
      <c r="B44" s="7">
        <f>AdjPrice!B44/AdjPrice!B43-1</f>
        <v>-5.8553128805440946E-2</v>
      </c>
      <c r="C44" s="7">
        <f>AdjPrice!C44/AdjPrice!C43-1</f>
        <v>3.803285582364202E-3</v>
      </c>
      <c r="D44" s="7">
        <f>AdjPrice!D44/AdjPrice!D43-1</f>
        <v>-2.58778409164927E-2</v>
      </c>
      <c r="E44" s="7">
        <f>AdjPrice!E44/AdjPrice!E43-1</f>
        <v>1.2235558169337857E-4</v>
      </c>
      <c r="F44" s="7">
        <f>AdjPrice!F44/AdjPrice!F43-1</f>
        <v>-1.1841106780833721E-2</v>
      </c>
      <c r="G44" s="7">
        <f>AdjPrice!G44/AdjPrice!G43-1</f>
        <v>3.3427991372698695E-3</v>
      </c>
      <c r="H44" s="7">
        <f>AdjPrice!H44/AdjPrice!H43-1</f>
        <v>-3.5176813332545187E-2</v>
      </c>
      <c r="I44" s="7">
        <f>SUMPRODUCT(B44:H44, Weights!$B$3:$H$3)</f>
        <v>-1.8227892841408425E-2</v>
      </c>
      <c r="J44" s="7">
        <f>SUMPRODUCT(B44:H44, Weights!$B$4:$H$4)</f>
        <v>-2.105714576684976E-2</v>
      </c>
      <c r="K44" s="7">
        <f t="shared" si="2"/>
        <v>2.8292529254413355E-3</v>
      </c>
      <c r="L44" s="7">
        <f t="shared" si="3"/>
        <v>108.67374039098658</v>
      </c>
      <c r="M44" s="7">
        <f t="shared" si="4"/>
        <v>111.66708207103366</v>
      </c>
      <c r="N44" s="7">
        <f t="shared" si="5"/>
        <v>110.74252153020534</v>
      </c>
      <c r="O44" s="7">
        <f t="shared" si="7"/>
        <v>-1.8681000853448038E-2</v>
      </c>
      <c r="P44" s="7">
        <f t="shared" si="6"/>
        <v>114.0690506990906</v>
      </c>
      <c r="Q44" s="7">
        <f t="shared" si="1"/>
        <v>-2.1057145766849805E-2</v>
      </c>
      <c r="R44" s="7"/>
      <c r="S44" s="7"/>
      <c r="T44" s="7"/>
    </row>
    <row r="45" spans="1:20" x14ac:dyDescent="0.2">
      <c r="A45" s="15">
        <f>AdjPrice!A45</f>
        <v>45748</v>
      </c>
      <c r="B45" s="7">
        <f>AdjPrice!B45/AdjPrice!B44-1</f>
        <v>-7.3497036103753466E-3</v>
      </c>
      <c r="C45" s="7">
        <f>AdjPrice!C45/AdjPrice!C44-1</f>
        <v>2.8341556000467616E-2</v>
      </c>
      <c r="D45" s="7">
        <f>AdjPrice!D45/AdjPrice!D44-1</f>
        <v>-2.4408979594456759E-2</v>
      </c>
      <c r="E45" s="7">
        <f>AdjPrice!E45/AdjPrice!E44-1</f>
        <v>3.9611368341037068E-3</v>
      </c>
      <c r="F45" s="7">
        <f>AdjPrice!F45/AdjPrice!F44-1</f>
        <v>1.7203445702496101E-2</v>
      </c>
      <c r="G45" s="7">
        <f>AdjPrice!G45/AdjPrice!G44-1</f>
        <v>3.4883943619521407E-3</v>
      </c>
      <c r="H45" s="7">
        <f>AdjPrice!H45/AdjPrice!H44-1</f>
        <v>5.6059431252670766E-3</v>
      </c>
      <c r="I45" s="7">
        <f>SUMPRODUCT(B45:H45, Weights!$B$3:$H$3)</f>
        <v>3.9161871617337633E-3</v>
      </c>
      <c r="J45" s="7">
        <f>SUMPRODUCT(B45:H45, Weights!$B$4:$H$4)</f>
        <v>4.9480206088017287E-3</v>
      </c>
      <c r="K45" s="7">
        <f t="shared" si="2"/>
        <v>-1.0318334470679653E-3</v>
      </c>
      <c r="L45" s="7">
        <f t="shared" si="3"/>
        <v>109.09932709792334</v>
      </c>
      <c r="M45" s="7">
        <f t="shared" si="4"/>
        <v>112.21961309444589</v>
      </c>
      <c r="N45" s="7">
        <f t="shared" si="5"/>
        <v>110.74252153020534</v>
      </c>
      <c r="O45" s="7">
        <f t="shared" si="7"/>
        <v>-1.4837971987425091E-2</v>
      </c>
      <c r="P45" s="7">
        <f t="shared" si="6"/>
        <v>114.0690506990906</v>
      </c>
      <c r="Q45" s="7">
        <f t="shared" si="1"/>
        <v>-1.6213316349265039E-2</v>
      </c>
      <c r="R45" s="7"/>
      <c r="S45" s="7"/>
      <c r="T45" s="7"/>
    </row>
    <row r="46" spans="1:20" x14ac:dyDescent="0.2">
      <c r="A46" s="15">
        <f>AdjPrice!A46</f>
        <v>45778</v>
      </c>
      <c r="B46" s="7">
        <f>AdjPrice!B46/AdjPrice!B45-1</f>
        <v>6.2531976119642119E-2</v>
      </c>
      <c r="C46" s="7">
        <f>AdjPrice!C46/AdjPrice!C45-1</f>
        <v>4.8230461802633906E-2</v>
      </c>
      <c r="D46" s="7">
        <f>AdjPrice!D46/AdjPrice!D45-1</f>
        <v>1.1207864614061869E-2</v>
      </c>
      <c r="E46" s="7">
        <f>AdjPrice!E46/AdjPrice!E45-1</f>
        <v>-6.7427312744267054E-3</v>
      </c>
      <c r="F46" s="7">
        <f>AdjPrice!F46/AdjPrice!F45-1</f>
        <v>8.0782806611834346E-5</v>
      </c>
      <c r="G46" s="7">
        <f>AdjPrice!G46/AdjPrice!G45-1</f>
        <v>3.1976018497970049E-3</v>
      </c>
      <c r="H46" s="7">
        <f>AdjPrice!H46/AdjPrice!H45-1</f>
        <v>5.8061813375128501E-2</v>
      </c>
      <c r="I46" s="7">
        <f>SUMPRODUCT(B46:H46, Weights!$B$3:$H$3)</f>
        <v>2.2137527892865414E-2</v>
      </c>
      <c r="J46" s="7">
        <f>SUMPRODUCT(B46:H46, Weights!$B$4:$H$4)</f>
        <v>3.213999551530642E-2</v>
      </c>
      <c r="K46" s="7">
        <f t="shared" si="2"/>
        <v>-1.0002467622441006E-2</v>
      </c>
      <c r="L46" s="7">
        <f t="shared" si="3"/>
        <v>111.51451649464647</v>
      </c>
      <c r="M46" s="7">
        <f t="shared" si="4"/>
        <v>115.82635095603079</v>
      </c>
      <c r="N46" s="7">
        <f t="shared" si="5"/>
        <v>111.51451649464647</v>
      </c>
      <c r="O46" s="7">
        <f t="shared" si="7"/>
        <v>0</v>
      </c>
      <c r="P46" s="7">
        <f t="shared" si="6"/>
        <v>115.82635095603079</v>
      </c>
      <c r="Q46" s="7">
        <f t="shared" si="1"/>
        <v>0</v>
      </c>
      <c r="R46" s="7"/>
      <c r="S46" s="7"/>
      <c r="T46" s="7"/>
    </row>
    <row r="47" spans="1:20" x14ac:dyDescent="0.2">
      <c r="A47" s="15">
        <f>AdjPrice!A47</f>
        <v>45809</v>
      </c>
      <c r="B47" s="7">
        <f>AdjPrice!B47/AdjPrice!B46-1</f>
        <v>5.1633834822321312E-2</v>
      </c>
      <c r="C47" s="7">
        <f>AdjPrice!C47/AdjPrice!C46-1</f>
        <v>3.9573300007751611E-2</v>
      </c>
      <c r="D47" s="7">
        <f>AdjPrice!D47/AdjPrice!D46-1</f>
        <v>6.8849920566473877E-3</v>
      </c>
      <c r="E47" s="7">
        <f>AdjPrice!E47/AdjPrice!E46-1</f>
        <v>1.5166147417854825E-2</v>
      </c>
      <c r="F47" s="7">
        <f>AdjPrice!F47/AdjPrice!F46-1</f>
        <v>3.3844445933051137E-3</v>
      </c>
      <c r="G47" s="7">
        <f>AdjPrice!G47/AdjPrice!G46-1</f>
        <v>3.4259006309509399E-3</v>
      </c>
      <c r="H47" s="7">
        <f>AdjPrice!H47/AdjPrice!H46-1</f>
        <v>4.6731457823858014E-2</v>
      </c>
      <c r="I47" s="7">
        <f>SUMPRODUCT(B47:H47, Weights!$B$3:$H$3)</f>
        <v>2.4761758858307569E-2</v>
      </c>
      <c r="J47" s="7">
        <f>SUMPRODUCT(B47:H47, Weights!$B$4:$H$4)</f>
        <v>3.4105333661456738E-2</v>
      </c>
      <c r="K47" s="7">
        <f t="shared" si="2"/>
        <v>-9.343574803149169E-3</v>
      </c>
      <c r="L47" s="7">
        <f t="shared" si="3"/>
        <v>114.27581206128767</v>
      </c>
      <c r="M47" s="7">
        <f t="shared" si="4"/>
        <v>119.77664730217521</v>
      </c>
      <c r="N47" s="7">
        <f t="shared" si="5"/>
        <v>114.27581206128767</v>
      </c>
      <c r="O47" s="7">
        <f t="shared" si="7"/>
        <v>0</v>
      </c>
      <c r="P47" s="7">
        <f t="shared" si="6"/>
        <v>119.77664730217521</v>
      </c>
      <c r="Q47" s="7">
        <f t="shared" si="1"/>
        <v>0</v>
      </c>
      <c r="R47" s="7"/>
      <c r="S47" s="7"/>
      <c r="T47" s="7"/>
    </row>
    <row r="48" spans="1:20" x14ac:dyDescent="0.2">
      <c r="A48" s="15">
        <f>AdjPrice!A48</f>
        <v>45839</v>
      </c>
      <c r="B48" s="7">
        <f>AdjPrice!B48/AdjPrice!B47-1</f>
        <v>2.2900062926137776E-2</v>
      </c>
      <c r="C48" s="7">
        <f>AdjPrice!C48/AdjPrice!C47-1</f>
        <v>-8.9736779853462068E-3</v>
      </c>
      <c r="D48" s="7">
        <f>AdjPrice!D48/AdjPrice!D47-1</f>
        <v>8.9818067029390214E-4</v>
      </c>
      <c r="E48" s="7">
        <f>AdjPrice!E48/AdjPrice!E47-1</f>
        <v>-2.6566741713095476E-3</v>
      </c>
      <c r="F48" s="7">
        <f>AdjPrice!F48/AdjPrice!F47-1</f>
        <v>-1.1335588470325897E-3</v>
      </c>
      <c r="G48" s="7">
        <f>AdjPrice!G48/AdjPrice!G47-1</f>
        <v>3.280256586118746E-3</v>
      </c>
      <c r="H48" s="7">
        <f>AdjPrice!H48/AdjPrice!H47-1</f>
        <v>1.097103049127468E-2</v>
      </c>
      <c r="I48" s="7">
        <f>SUMPRODUCT(B48:H48, Weights!$B$3:$H$3)</f>
        <v>3.6657588516200877E-3</v>
      </c>
      <c r="J48" s="7">
        <f>SUMPRODUCT(B48:H48, Weights!$B$4:$H$4)</f>
        <v>5.519948626240989E-3</v>
      </c>
      <c r="K48" s="7">
        <f t="shared" si="2"/>
        <v>-1.8541897746209013E-3</v>
      </c>
      <c r="L48" s="7">
        <f t="shared" si="3"/>
        <v>114.6947196308774</v>
      </c>
      <c r="M48" s="7">
        <f t="shared" si="4"/>
        <v>120.43780824190659</v>
      </c>
      <c r="N48" s="7">
        <f t="shared" si="5"/>
        <v>114.6947196308774</v>
      </c>
      <c r="O48" s="7">
        <f t="shared" si="7"/>
        <v>0</v>
      </c>
      <c r="P48" s="7">
        <f t="shared" si="6"/>
        <v>120.43780824190659</v>
      </c>
      <c r="Q48" s="7">
        <f t="shared" si="1"/>
        <v>0</v>
      </c>
      <c r="R48" s="7"/>
      <c r="S48" s="7"/>
      <c r="T48" s="7"/>
    </row>
    <row r="49" spans="1:20" x14ac:dyDescent="0.2">
      <c r="A49" s="15">
        <f>AdjPrice!A49</f>
        <v>45870</v>
      </c>
      <c r="B49" s="7">
        <f>AdjPrice!B49/AdjPrice!B48-1</f>
        <v>2.3513101689861315E-2</v>
      </c>
      <c r="C49" s="7">
        <f>AdjPrice!C49/AdjPrice!C48-1</f>
        <v>4.2354342584541183E-2</v>
      </c>
      <c r="D49" s="7">
        <f>AdjPrice!D49/AdjPrice!D48-1</f>
        <v>3.4776743190865878E-2</v>
      </c>
      <c r="E49" s="7">
        <f>AdjPrice!E49/AdjPrice!E48-1</f>
        <v>1.1540692785587892E-2</v>
      </c>
      <c r="F49" s="7">
        <f>AdjPrice!F49/AdjPrice!F48-1</f>
        <v>1.3605931740114929E-3</v>
      </c>
      <c r="G49" s="7">
        <f>AdjPrice!G49/AdjPrice!G48-1</f>
        <v>4.2261075413687621E-3</v>
      </c>
      <c r="H49" s="7">
        <f>AdjPrice!H49/AdjPrice!H48-1</f>
        <v>2.9554521463793559E-2</v>
      </c>
      <c r="I49" s="7">
        <f>SUMPRODUCT(B49:H49, Weights!$B$3:$H$3)</f>
        <v>1.9586703318079622E-2</v>
      </c>
      <c r="J49" s="7">
        <f>SUMPRODUCT(B49:H49, Weights!$B$4:$H$4)</f>
        <v>2.2348989992511292E-2</v>
      </c>
      <c r="K49" s="7">
        <f t="shared" si="2"/>
        <v>-2.7622866744316694E-3</v>
      </c>
      <c r="L49" s="7">
        <f t="shared" si="3"/>
        <v>116.94121107643772</v>
      </c>
      <c r="M49" s="7">
        <f t="shared" si="4"/>
        <v>123.12947161302496</v>
      </c>
      <c r="N49" s="7">
        <f t="shared" si="5"/>
        <v>116.94121107643772</v>
      </c>
      <c r="O49" s="7">
        <f t="shared" si="7"/>
        <v>0</v>
      </c>
      <c r="P49" s="7">
        <f t="shared" si="6"/>
        <v>123.12947161302496</v>
      </c>
      <c r="Q49" s="7">
        <f t="shared" si="1"/>
        <v>0</v>
      </c>
      <c r="R49" s="7"/>
      <c r="S49" s="7"/>
      <c r="T49" s="7"/>
    </row>
    <row r="50" spans="1:20" x14ac:dyDescent="0.2">
      <c r="A50" s="15">
        <f>AdjPrice!A50</f>
        <v>45901</v>
      </c>
      <c r="B50" s="7">
        <f>AdjPrice!B50/AdjPrice!B49-1</f>
        <v>3.4199543834884105E-2</v>
      </c>
      <c r="C50" s="7">
        <f>AdjPrice!C50/AdjPrice!C49-1</f>
        <v>3.4334308951475601E-2</v>
      </c>
      <c r="D50" s="7">
        <f>AdjPrice!D50/AdjPrice!D49-1</f>
        <v>5.7638171288409978E-4</v>
      </c>
      <c r="E50" s="7">
        <f>AdjPrice!E50/AdjPrice!E49-1</f>
        <v>1.1052898878560979E-2</v>
      </c>
      <c r="F50" s="7">
        <f>AdjPrice!F50/AdjPrice!F49-1</f>
        <v>5.2642507198590316E-3</v>
      </c>
      <c r="G50" s="7">
        <f>AdjPrice!G50/AdjPrice!G49-1</f>
        <v>3.5240467035144718E-3</v>
      </c>
      <c r="H50" s="7">
        <f>AdjPrice!H50/AdjPrice!H49-1</f>
        <v>3.3713071635157021E-2</v>
      </c>
      <c r="I50" s="7">
        <f>SUMPRODUCT(B50:H50, Weights!$B$3:$H$3)</f>
        <v>1.8039380079453646E-2</v>
      </c>
      <c r="J50" s="7">
        <f>SUMPRODUCT(B50:H50, Weights!$B$4:$H$4)</f>
        <v>2.4649002532518605E-2</v>
      </c>
      <c r="K50" s="7">
        <f t="shared" si="2"/>
        <v>-6.6096224530649596E-3</v>
      </c>
      <c r="L50" s="7">
        <f t="shared" si="3"/>
        <v>119.0507580299972</v>
      </c>
      <c r="M50" s="7">
        <f t="shared" si="4"/>
        <v>126.16449027064209</v>
      </c>
      <c r="N50" s="7">
        <f t="shared" si="5"/>
        <v>119.0507580299972</v>
      </c>
      <c r="O50" s="7">
        <f t="shared" si="7"/>
        <v>0</v>
      </c>
      <c r="P50" s="7">
        <f t="shared" si="6"/>
        <v>126.16449027064209</v>
      </c>
      <c r="Q50" s="7">
        <f t="shared" si="1"/>
        <v>0</v>
      </c>
      <c r="R50" s="7"/>
      <c r="S50" s="7"/>
      <c r="T50" s="7"/>
    </row>
    <row r="51" spans="1:20" x14ac:dyDescent="0.2">
      <c r="A51" s="15">
        <f>AdjPrice!A51</f>
        <v>45931</v>
      </c>
      <c r="B51" s="7">
        <f>AdjPrice!B51/AdjPrice!B50-1</f>
        <v>2.2092298813514821E-2</v>
      </c>
      <c r="C51" s="7">
        <f>AdjPrice!C51/AdjPrice!C50-1</f>
        <v>1.5927030233421569E-2</v>
      </c>
      <c r="D51" s="7">
        <f>AdjPrice!D51/AdjPrice!D50-1</f>
        <v>-2.4502248811026028E-2</v>
      </c>
      <c r="E51" s="7">
        <f>AdjPrice!E51/AdjPrice!E50-1</f>
        <v>6.0297347360220854E-3</v>
      </c>
      <c r="F51" s="7">
        <f>AdjPrice!F51/AdjPrice!F50-1</f>
        <v>1.0029212917217478E-2</v>
      </c>
      <c r="G51" s="7">
        <f>AdjPrice!G51/AdjPrice!G50-1</f>
        <v>3.3325638822230275E-3</v>
      </c>
      <c r="H51" s="7">
        <f>AdjPrice!H51/AdjPrice!H50-1</f>
        <v>2.0246704612562727E-2</v>
      </c>
      <c r="I51" s="7">
        <f>SUMPRODUCT(B51:H51, Weights!$B$3:$H$3)</f>
        <v>8.9418349097897358E-3</v>
      </c>
      <c r="J51" s="7">
        <f>SUMPRODUCT(B51:H51, Weights!$B$4:$H$4)</f>
        <v>1.4559916661946469E-2</v>
      </c>
      <c r="K51" s="7">
        <f t="shared" si="2"/>
        <v>-5.6180817521567332E-3</v>
      </c>
      <c r="L51" s="7">
        <f t="shared" si="3"/>
        <v>120.11529025418677</v>
      </c>
      <c r="M51" s="7">
        <f t="shared" si="4"/>
        <v>128.00143473467961</v>
      </c>
      <c r="N51" s="7">
        <f t="shared" si="5"/>
        <v>120.11529025418677</v>
      </c>
      <c r="O51" s="7">
        <f t="shared" si="7"/>
        <v>0</v>
      </c>
      <c r="P51" s="7">
        <f t="shared" si="6"/>
        <v>128.00143473467961</v>
      </c>
      <c r="Q51" s="7">
        <f t="shared" si="1"/>
        <v>0</v>
      </c>
      <c r="R51" s="7"/>
      <c r="S51" s="7"/>
      <c r="T51" s="7"/>
    </row>
    <row r="52" spans="1:20" x14ac:dyDescent="0.2">
      <c r="A52" s="15">
        <f>AdjPrice!A52</f>
        <v>45962</v>
      </c>
      <c r="B52" s="7">
        <f>AdjPrice!B52/AdjPrice!B51-1</f>
        <v>2.6532712037392603E-3</v>
      </c>
      <c r="C52" s="7">
        <f>AdjPrice!C52/AdjPrice!C51-1</f>
        <v>4.1538314554152578E-3</v>
      </c>
      <c r="D52" s="7">
        <f>AdjPrice!D52/AdjPrice!D51-1</f>
        <v>2.4220679093870379E-2</v>
      </c>
      <c r="E52" s="7">
        <f>AdjPrice!E52/AdjPrice!E51-1</f>
        <v>5.972723957182513E-3</v>
      </c>
      <c r="F52" s="7">
        <f>AdjPrice!F52/AdjPrice!F51-1</f>
        <v>-1.8291965227250628E-3</v>
      </c>
      <c r="G52" s="7">
        <f>AdjPrice!G52/AdjPrice!G51-1</f>
        <v>3.0060007594485683E-3</v>
      </c>
      <c r="H52" s="7">
        <f>AdjPrice!H52/AdjPrice!H51-1</f>
        <v>2.1338340636447573E-3</v>
      </c>
      <c r="I52" s="7">
        <f>SUMPRODUCT(B52:H52, Weights!$B$3:$H$3)</f>
        <v>5.3761981753525636E-3</v>
      </c>
      <c r="J52" s="7">
        <f>SUMPRODUCT(B52:H52, Weights!$B$4:$H$4)</f>
        <v>3.6693900210598598E-3</v>
      </c>
      <c r="K52" s="7">
        <f t="shared" si="2"/>
        <v>1.7068081542927038E-3</v>
      </c>
      <c r="L52" s="7">
        <f t="shared" si="3"/>
        <v>120.76105385848328</v>
      </c>
      <c r="M52" s="7">
        <f t="shared" si="4"/>
        <v>128.47112192197639</v>
      </c>
      <c r="N52" s="7">
        <f t="shared" si="5"/>
        <v>120.76105385848328</v>
      </c>
      <c r="O52" s="7">
        <f t="shared" si="7"/>
        <v>0</v>
      </c>
      <c r="P52" s="7">
        <f t="shared" si="6"/>
        <v>128.47112192197639</v>
      </c>
      <c r="Q52" s="7">
        <f t="shared" si="1"/>
        <v>0</v>
      </c>
      <c r="R52" s="7"/>
      <c r="S52" s="7"/>
      <c r="T52" s="7"/>
    </row>
    <row r="53" spans="1:20" x14ac:dyDescent="0.2">
      <c r="A53" s="15">
        <f>AdjPrice!A53</f>
        <v>45992</v>
      </c>
      <c r="B53" s="7">
        <f>AdjPrice!B53/AdjPrice!B52-1</f>
        <v>-2.6468924344769107E-4</v>
      </c>
      <c r="C53" s="7">
        <f>AdjPrice!C53/AdjPrice!C52-1</f>
        <v>2.5162140057636062E-2</v>
      </c>
      <c r="D53" s="7">
        <f>AdjPrice!D53/AdjPrice!D52-1</f>
        <v>-2.2362604821730248E-2</v>
      </c>
      <c r="E53" s="7">
        <f>AdjPrice!E53/AdjPrice!E52-1</f>
        <v>-3.0016571196603836E-3</v>
      </c>
      <c r="F53" s="7">
        <f>AdjPrice!F53/AdjPrice!F52-1</f>
        <v>-5.1917798823943873E-3</v>
      </c>
      <c r="G53" s="7">
        <f>AdjPrice!G53/AdjPrice!G52-1</f>
        <v>3.7191111913232877E-3</v>
      </c>
      <c r="H53" s="7">
        <f>AdjPrice!H53/AdjPrice!H52-1</f>
        <v>9.219181605501614E-3</v>
      </c>
      <c r="I53" s="7">
        <f>SUMPRODUCT(B53:H53, Weights!$B$3:$H$3)</f>
        <v>-2.1420343080647165E-5</v>
      </c>
      <c r="J53" s="7">
        <f>SUMPRODUCT(B53:H53, Weights!$B$4:$H$4)</f>
        <v>4.3308461154368148E-3</v>
      </c>
      <c r="K53" s="7">
        <f t="shared" si="2"/>
        <v>-4.3522664585174623E-3</v>
      </c>
      <c r="L53" s="7">
        <f t="shared" si="3"/>
        <v>120.75846711527885</v>
      </c>
      <c r="M53" s="7">
        <f t="shared" si="4"/>
        <v>129.02751058129797</v>
      </c>
      <c r="N53" s="7">
        <f t="shared" si="5"/>
        <v>120.76105385848328</v>
      </c>
      <c r="O53" s="7">
        <f t="shared" si="7"/>
        <v>-2.1420343080724713E-5</v>
      </c>
      <c r="P53" s="7">
        <f t="shared" si="6"/>
        <v>129.02751058129797</v>
      </c>
      <c r="Q53" s="7">
        <f t="shared" si="1"/>
        <v>0</v>
      </c>
      <c r="R53" s="7"/>
      <c r="S53" s="7"/>
      <c r="T53" s="7"/>
    </row>
    <row r="54" spans="1:20" x14ac:dyDescent="0.2">
      <c r="A54" s="15">
        <f>AdjPrice!A54</f>
        <v>46023</v>
      </c>
      <c r="B54" s="7">
        <f>AdjPrice!B54/AdjPrice!B53-1</f>
        <v>1.5808261372165955E-2</v>
      </c>
      <c r="C54" s="7">
        <f>AdjPrice!C54/AdjPrice!C53-1</f>
        <v>5.5938644389173175E-2</v>
      </c>
      <c r="D54" s="7">
        <f>AdjPrice!D54/AdjPrice!D53-1</f>
        <v>2.6104634181506547E-2</v>
      </c>
      <c r="E54" s="7">
        <f>AdjPrice!E54/AdjPrice!E53-1</f>
        <v>2.1602635931403658E-3</v>
      </c>
      <c r="F54" s="7">
        <f>AdjPrice!F54/AdjPrice!F53-1</f>
        <v>5.1738806596577369E-3</v>
      </c>
      <c r="G54" s="7">
        <f>AdjPrice!G54/AdjPrice!G53-1</f>
        <v>2.6328865503779664E-3</v>
      </c>
      <c r="H54" s="7">
        <f>AdjPrice!H54/AdjPrice!H53-1</f>
        <v>3.112152387602185E-2</v>
      </c>
      <c r="I54" s="7">
        <f>SUMPRODUCT(B54:H54, Weights!$B$3:$H$3)</f>
        <v>1.6509130923977787E-2</v>
      </c>
      <c r="J54" s="7">
        <f>SUMPRODUCT(B54:H54, Weights!$B$4:$H$4)</f>
        <v>1.9537019762869253E-2</v>
      </c>
      <c r="K54" s="7">
        <f t="shared" si="2"/>
        <v>-3.0278888388914661E-3</v>
      </c>
      <c r="L54" s="7">
        <f t="shared" si="3"/>
        <v>122.75208445906385</v>
      </c>
      <c r="M54" s="7">
        <f t="shared" si="4"/>
        <v>131.54832360547863</v>
      </c>
      <c r="N54" s="7">
        <f t="shared" si="5"/>
        <v>122.75208445906385</v>
      </c>
      <c r="O54" s="7">
        <f t="shared" si="7"/>
        <v>0</v>
      </c>
      <c r="P54" s="7">
        <f t="shared" si="6"/>
        <v>131.54832360547863</v>
      </c>
      <c r="Q54" s="7">
        <f t="shared" si="1"/>
        <v>0</v>
      </c>
      <c r="R54" s="7"/>
      <c r="S54" s="7"/>
      <c r="T54" s="7"/>
    </row>
    <row r="55" spans="1:20" x14ac:dyDescent="0.2">
      <c r="A55" s="15">
        <f>AdjPrice!A55</f>
        <v>46054</v>
      </c>
      <c r="B55" s="7">
        <f>AdjPrice!B55/AdjPrice!B54-1</f>
        <v>-5.2853518853406278E-3</v>
      </c>
      <c r="C55" s="7">
        <f>AdjPrice!C55/AdjPrice!C54-1</f>
        <v>5.2096255539122005E-2</v>
      </c>
      <c r="D55" s="7">
        <f>AdjPrice!D55/AdjPrice!D54-1</f>
        <v>5.3854713477781146E-2</v>
      </c>
      <c r="E55" s="7">
        <f>AdjPrice!E55/AdjPrice!E54-1</f>
        <v>1.601666683440861E-2</v>
      </c>
      <c r="F55" s="7">
        <f>AdjPrice!F55/AdjPrice!F54-1</f>
        <v>1.5312272801330629E-2</v>
      </c>
      <c r="G55" s="7">
        <f>AdjPrice!G55/AdjPrice!G54-1</f>
        <v>2.6521493895190762E-3</v>
      </c>
      <c r="H55" s="7">
        <f>AdjPrice!H55/AdjPrice!H54-1</f>
        <v>1.6431704083315957E-2</v>
      </c>
      <c r="I55" s="7">
        <f>SUMPRODUCT(B55:H55, Weights!$B$3:$H$3)</f>
        <v>1.9113020147309388E-2</v>
      </c>
      <c r="J55" s="7">
        <f>SUMPRODUCT(B55:H55, Weights!$B$4:$H$4)</f>
        <v>1.626568918375302E-2</v>
      </c>
      <c r="K55" s="7">
        <f t="shared" si="2"/>
        <v>2.8473309635563687E-3</v>
      </c>
      <c r="L55" s="7">
        <f t="shared" si="3"/>
        <v>125.09824752245416</v>
      </c>
      <c r="M55" s="7">
        <f t="shared" si="4"/>
        <v>133.68804774988908</v>
      </c>
      <c r="N55" s="7">
        <f t="shared" si="5"/>
        <v>125.09824752245416</v>
      </c>
      <c r="O55" s="7">
        <f t="shared" si="7"/>
        <v>0</v>
      </c>
      <c r="P55" s="7">
        <f t="shared" si="6"/>
        <v>133.68804774988908</v>
      </c>
      <c r="Q55" s="7">
        <f t="shared" si="1"/>
        <v>0</v>
      </c>
      <c r="R55" s="7"/>
      <c r="S55" s="7"/>
      <c r="T55" s="7"/>
    </row>
    <row r="56" spans="1:20" x14ac:dyDescent="0.2">
      <c r="A56" s="15">
        <f>AdjPrice!A56</f>
        <v>46082</v>
      </c>
      <c r="B56" s="7">
        <f>AdjPrice!B56/AdjPrice!B55-1</f>
        <v>-5.004839357234514E-2</v>
      </c>
      <c r="C56" s="7">
        <f>AdjPrice!C56/AdjPrice!C55-1</f>
        <v>-7.8987642508406508E-2</v>
      </c>
      <c r="D56" s="7">
        <f>AdjPrice!D56/AdjPrice!D55-1</f>
        <v>-6.3139404630932594E-2</v>
      </c>
      <c r="E56" s="7">
        <f>AdjPrice!E56/AdjPrice!E55-1</f>
        <v>-1.7373513704697974E-2</v>
      </c>
      <c r="F56" s="7">
        <f>AdjPrice!F56/AdjPrice!F55-1</f>
        <v>-2.1384949233855921E-2</v>
      </c>
      <c r="G56" s="7">
        <f>AdjPrice!G56/AdjPrice!G55-1</f>
        <v>2.7614503791131284E-3</v>
      </c>
      <c r="H56" s="7">
        <f>AdjPrice!H56/AdjPrice!H55-1</f>
        <v>-6.2196298090960833E-2</v>
      </c>
      <c r="I56" s="7">
        <f>SUMPRODUCT(B56:H56, Weights!$B$3:$H$3)</f>
        <v>-3.895590920997264E-2</v>
      </c>
      <c r="J56" s="7">
        <f>SUMPRODUCT(B56:H56, Weights!$B$4:$H$4)</f>
        <v>-4.4267184336455684E-2</v>
      </c>
      <c r="K56" s="7">
        <f t="shared" si="2"/>
        <v>5.3112751264830435E-3</v>
      </c>
      <c r="L56" s="7">
        <f t="shared" si="3"/>
        <v>120.22493154964275</v>
      </c>
      <c r="M56" s="7">
        <f t="shared" si="4"/>
        <v>127.77005429656384</v>
      </c>
      <c r="N56" s="7">
        <f t="shared" si="5"/>
        <v>125.09824752245416</v>
      </c>
      <c r="O56" s="7">
        <f t="shared" si="7"/>
        <v>-3.8955909209972717E-2</v>
      </c>
      <c r="P56" s="7">
        <f t="shared" si="6"/>
        <v>133.68804774988908</v>
      </c>
      <c r="Q56" s="7">
        <f t="shared" si="1"/>
        <v>-4.4267184336455712E-2</v>
      </c>
      <c r="R56" s="7"/>
      <c r="S56" s="7"/>
      <c r="T56" s="7"/>
    </row>
    <row r="57" spans="1:20" x14ac:dyDescent="0.2">
      <c r="A57" s="15">
        <f>AdjPrice!A57</f>
        <v>46113</v>
      </c>
      <c r="B57" s="7">
        <f>AdjPrice!B57/AdjPrice!B56-1</f>
        <v>0.10401785120798923</v>
      </c>
      <c r="C57" s="7">
        <f>AdjPrice!C57/AdjPrice!C56-1</f>
        <v>7.7162396654882004E-2</v>
      </c>
      <c r="D57" s="7">
        <f>AdjPrice!D57/AdjPrice!D56-1</f>
        <v>8.6020420264821817E-2</v>
      </c>
      <c r="E57" s="7">
        <f>AdjPrice!E57/AdjPrice!E56-1</f>
        <v>1.4990973262967167E-3</v>
      </c>
      <c r="F57" s="7">
        <f>AdjPrice!F57/AdjPrice!F56-1</f>
        <v>2.3363654089061381E-3</v>
      </c>
      <c r="G57" s="7">
        <f>AdjPrice!G57/AdjPrice!G56-1</f>
        <v>2.9437150755311503E-3</v>
      </c>
      <c r="H57" s="7">
        <f>AdjPrice!H57/AdjPrice!H56-1</f>
        <v>9.3117276338342325E-2</v>
      </c>
      <c r="I57" s="7">
        <f>SUMPRODUCT(B57:H57, Weights!$B$3:$H$3)</f>
        <v>4.7128234089713283E-2</v>
      </c>
      <c r="J57" s="7">
        <f>SUMPRODUCT(B57:H57, Weights!$B$4:$H$4)</f>
        <v>5.6470004733524086E-2</v>
      </c>
      <c r="K57" s="7">
        <f t="shared" si="2"/>
        <v>-9.3417706438108025E-3</v>
      </c>
      <c r="L57" s="7">
        <f t="shared" si="3"/>
        <v>125.89092026713406</v>
      </c>
      <c r="M57" s="7">
        <f t="shared" si="4"/>
        <v>134.98522986749342</v>
      </c>
      <c r="N57" s="7">
        <f t="shared" si="5"/>
        <v>125.89092026713406</v>
      </c>
      <c r="O57" s="7">
        <f t="shared" si="7"/>
        <v>0</v>
      </c>
      <c r="P57" s="7">
        <f t="shared" si="6"/>
        <v>134.98522986749342</v>
      </c>
      <c r="Q57" s="7">
        <f t="shared" si="1"/>
        <v>0</v>
      </c>
      <c r="R57" s="7"/>
      <c r="S57" s="7"/>
      <c r="T57" s="7"/>
    </row>
    <row r="58" spans="1:20" x14ac:dyDescent="0.2">
      <c r="A58" s="15">
        <f>AdjPrice!A58</f>
        <v>46143</v>
      </c>
      <c r="B58" s="7">
        <f>AdjPrice!B58/AdjPrice!B57-1</f>
        <v>5.1838162391174336E-2</v>
      </c>
      <c r="C58" s="7">
        <f>AdjPrice!C58/AdjPrice!C57-1</f>
        <v>3.6118450637633748E-2</v>
      </c>
      <c r="D58" s="7">
        <f>AdjPrice!D58/AdjPrice!D57-1</f>
        <v>-6.5401732430255821E-3</v>
      </c>
      <c r="E58" s="7">
        <f>AdjPrice!E58/AdjPrice!E57-1</f>
        <v>2.7572109511138088E-3</v>
      </c>
      <c r="F58" s="7">
        <f>AdjPrice!F58/AdjPrice!F57-1</f>
        <v>8.1982510773594974E-3</v>
      </c>
      <c r="G58" s="7">
        <f>AdjPrice!G58/AdjPrice!G57-1</f>
        <v>2.8892771587134547E-3</v>
      </c>
      <c r="H58" s="7">
        <f>AdjPrice!H58/AdjPrice!H57-1</f>
        <v>4.5767218466552961E-2</v>
      </c>
      <c r="I58" s="7">
        <f>SUMPRODUCT(B58:H58, Weights!$B$3:$H$3)</f>
        <v>1.992465567400983E-2</v>
      </c>
      <c r="J58" s="7">
        <f>SUMPRODUCT(B58:H58, Weights!$B$4:$H$4)</f>
        <v>2.8563215460377302E-2</v>
      </c>
      <c r="K58" s="7">
        <f t="shared" si="2"/>
        <v>-8.6385597863674717E-3</v>
      </c>
      <c r="L58" s="7">
        <f t="shared" si="3"/>
        <v>128.39925350594092</v>
      </c>
      <c r="M58" s="7">
        <f t="shared" si="4"/>
        <v>138.84084207216716</v>
      </c>
      <c r="N58" s="7">
        <f t="shared" si="5"/>
        <v>128.39925350594092</v>
      </c>
      <c r="O58" s="7">
        <f t="shared" si="7"/>
        <v>0</v>
      </c>
      <c r="P58" s="7">
        <f t="shared" si="6"/>
        <v>138.84084207216716</v>
      </c>
      <c r="Q58" s="7">
        <f t="shared" si="1"/>
        <v>0</v>
      </c>
      <c r="R58" s="7"/>
      <c r="S58" s="7"/>
      <c r="T58" s="7"/>
    </row>
    <row r="59" spans="1:20" x14ac:dyDescent="0.2">
      <c r="A59" s="15">
        <f>AdjPrice!A59</f>
        <v>46174</v>
      </c>
      <c r="B59" s="7">
        <f>AdjPrice!B59/AdjPrice!B58-1</f>
        <v>-3.853485519161759E-3</v>
      </c>
      <c r="C59" s="7">
        <f>AdjPrice!C59/AdjPrice!C58-1</f>
        <v>-2.1523270530809935E-3</v>
      </c>
      <c r="D59" s="7">
        <f>AdjPrice!D59/AdjPrice!D58-1</f>
        <v>1.6509259855657543E-2</v>
      </c>
      <c r="E59" s="7">
        <f>AdjPrice!E59/AdjPrice!E58-1</f>
        <v>2.6908795813953557E-3</v>
      </c>
      <c r="F59" s="7">
        <f>AdjPrice!F59/AdjPrice!F58-1</f>
        <v>4.4382578272110784E-3</v>
      </c>
      <c r="G59" s="7">
        <f>AdjPrice!G59/AdjPrice!G58-1</f>
        <v>2.7350467160565106E-3</v>
      </c>
      <c r="H59" s="7">
        <f>AdjPrice!H59/AdjPrice!H58-1</f>
        <v>-3.813650413824754E-3</v>
      </c>
      <c r="I59" s="7">
        <f>SUMPRODUCT(B59:H59, Weights!$B$3:$H$3)</f>
        <v>1.9744604321162594E-3</v>
      </c>
      <c r="J59" s="7">
        <f>SUMPRODUCT(B59:H59, Weights!$B$4:$H$4)</f>
        <v>-1.2118384157367101E-3</v>
      </c>
      <c r="K59" s="7">
        <f t="shared" si="2"/>
        <v>3.1862988478529694E-3</v>
      </c>
      <c r="L59" s="7">
        <f t="shared" si="3"/>
        <v>128.65277275150169</v>
      </c>
      <c r="M59" s="7">
        <f t="shared" si="4"/>
        <v>138.67258940607087</v>
      </c>
      <c r="N59" s="7">
        <f t="shared" si="5"/>
        <v>128.65277275150169</v>
      </c>
      <c r="O59" s="7">
        <f t="shared" si="7"/>
        <v>0</v>
      </c>
      <c r="P59" s="7">
        <f t="shared" si="6"/>
        <v>138.84084207216716</v>
      </c>
      <c r="Q59" s="7">
        <f t="shared" si="1"/>
        <v>-1.211838415736799E-3</v>
      </c>
      <c r="R59" s="7"/>
      <c r="S59" s="7"/>
      <c r="T59" s="7"/>
    </row>
    <row r="60" spans="1:20" x14ac:dyDescent="0.2">
      <c r="A60" s="15">
        <f>AdjPrice!A60</f>
        <v>46204</v>
      </c>
      <c r="B60" s="7">
        <f>AdjPrice!B60/AdjPrice!B59-1</f>
        <v>-4.9454536675522798E-3</v>
      </c>
      <c r="C60" s="7">
        <f>AdjPrice!C60/AdjPrice!C59-1</f>
        <v>-1.0527631445193752E-2</v>
      </c>
      <c r="D60" s="7">
        <f>AdjPrice!D60/AdjPrice!D59-1</f>
        <v>2.613292124323241E-2</v>
      </c>
      <c r="E60" s="7">
        <f>AdjPrice!E60/AdjPrice!E59-1</f>
        <v>-1.2792848692725678E-2</v>
      </c>
      <c r="F60" s="7">
        <f>AdjPrice!F60/AdjPrice!F59-1</f>
        <v>-1.1361836754578913E-2</v>
      </c>
      <c r="G60" s="7">
        <f>AdjPrice!G60/AdjPrice!G59-1</f>
        <v>3.3536933439888283E-3</v>
      </c>
      <c r="H60" s="7">
        <f>AdjPrice!H60/AdjPrice!H59-1</f>
        <v>-6.9448681702202197E-3</v>
      </c>
      <c r="I60" s="7">
        <f>SUMPRODUCT(B60:H60, Weights!$B$3:$H$3)</f>
        <v>-5.5766614631489898E-3</v>
      </c>
      <c r="J60" s="7">
        <f>SUMPRODUCT(B60:H60, Weights!$B$4:$H$4)</f>
        <v>-9.2840603792224037E-3</v>
      </c>
      <c r="K60" s="7">
        <f t="shared" si="2"/>
        <v>3.7073989160734139E-3</v>
      </c>
      <c r="L60" s="7">
        <f t="shared" si="3"/>
        <v>127.93531979157113</v>
      </c>
      <c r="M60" s="7">
        <f t="shared" si="4"/>
        <v>137.38514471308179</v>
      </c>
      <c r="N60" s="7">
        <f t="shared" si="5"/>
        <v>128.65277275150169</v>
      </c>
      <c r="O60" s="7">
        <f t="shared" si="7"/>
        <v>-5.5766614631489464E-3</v>
      </c>
      <c r="P60" s="7">
        <f t="shared" si="6"/>
        <v>138.84084207216716</v>
      </c>
      <c r="Q60" s="7">
        <f t="shared" si="1"/>
        <v>-1.048464801393767E-2</v>
      </c>
      <c r="R60" s="7"/>
      <c r="S60" s="7"/>
      <c r="T60" s="7"/>
    </row>
    <row r="61" spans="1:20" x14ac:dyDescent="0.2">
      <c r="A61" s="15">
        <f>AdjPrice!A61</f>
        <v>46235</v>
      </c>
      <c r="B61" s="7">
        <f>AdjPrice!B61/AdjPrice!B60-1</f>
        <v>2.6995466273240565E-2</v>
      </c>
      <c r="C61" s="7">
        <f>AdjPrice!C61/AdjPrice!C60-1</f>
        <v>3.2273389989901924E-2</v>
      </c>
      <c r="D61" s="7">
        <f>AdjPrice!D61/AdjPrice!D60-1</f>
        <v>-2.5366280154057508E-2</v>
      </c>
      <c r="E61" s="7">
        <f>AdjPrice!E61/AdjPrice!E60-1</f>
        <v>3.6398800968115985E-3</v>
      </c>
      <c r="F61" s="7">
        <f>AdjPrice!F61/AdjPrice!F60-1</f>
        <v>-2.1196633897943018E-3</v>
      </c>
      <c r="G61" s="7">
        <f>AdjPrice!G61/AdjPrice!G60-1</f>
        <v>2.8167083466157372E-3</v>
      </c>
      <c r="H61" s="7">
        <f>AdjPrice!H61/AdjPrice!H60-1</f>
        <v>3.0091084185367434E-2</v>
      </c>
      <c r="I61" s="7">
        <f>SUMPRODUCT(B61:H61, Weights!$B$3:$H$3)</f>
        <v>9.9680969892948015E-3</v>
      </c>
      <c r="J61" s="7">
        <f>SUMPRODUCT(B61:H61, Weights!$B$4:$H$4)</f>
        <v>1.9510602549945098E-2</v>
      </c>
      <c r="K61" s="7">
        <f t="shared" si="2"/>
        <v>-9.5425055606502968E-3</v>
      </c>
      <c r="L61" s="7">
        <f t="shared" si="3"/>
        <v>129.21059146760996</v>
      </c>
      <c r="M61" s="7">
        <f t="shared" si="4"/>
        <v>140.06561166784542</v>
      </c>
      <c r="N61" s="7">
        <f t="shared" si="5"/>
        <v>129.21059146760996</v>
      </c>
      <c r="O61" s="7">
        <f t="shared" si="7"/>
        <v>0</v>
      </c>
      <c r="P61" s="7">
        <f t="shared" si="6"/>
        <v>140.06561166784542</v>
      </c>
      <c r="Q61" s="7">
        <f t="shared" si="1"/>
        <v>0</v>
      </c>
      <c r="R61" s="7"/>
      <c r="S61" s="7"/>
      <c r="T61" s="7"/>
    </row>
    <row r="62" spans="1:20" x14ac:dyDescent="0.2">
      <c r="A62" s="15">
        <f>AdjPrice!A62</f>
        <v>46266</v>
      </c>
      <c r="B62" s="7">
        <f>AdjPrice!B62/AdjPrice!B61-1</f>
        <v>-5.1380150818451931E-3</v>
      </c>
      <c r="C62" s="7">
        <f>AdjPrice!C62/AdjPrice!C61-1</f>
        <v>-1.8844391988282139E-2</v>
      </c>
      <c r="D62" s="7">
        <f>AdjPrice!D62/AdjPrice!D61-1</f>
        <v>-5.3140016436463378E-2</v>
      </c>
      <c r="E62" s="7">
        <f>AdjPrice!E62/AdjPrice!E61-1</f>
        <v>-2.4407175970956763E-2</v>
      </c>
      <c r="F62" s="7">
        <f>AdjPrice!F62/AdjPrice!F61-1</f>
        <v>-1.1996788515281853E-2</v>
      </c>
      <c r="G62" s="7">
        <f>AdjPrice!G62/AdjPrice!G61-1</f>
        <v>2.52645009982988E-3</v>
      </c>
      <c r="H62" s="7">
        <f>AdjPrice!H62/AdjPrice!H61-1</f>
        <v>-1.0544607480073798E-2</v>
      </c>
      <c r="I62" s="7">
        <f>SUMPRODUCT(B62:H62, Weights!$B$3:$H$3)</f>
        <v>-1.8420512775937769E-2</v>
      </c>
      <c r="J62" s="7">
        <f>SUMPRODUCT(B62:H62, Weights!$B$4:$H$4)</f>
        <v>-1.6089634876426985E-2</v>
      </c>
      <c r="K62" s="7">
        <f t="shared" si="2"/>
        <v>-2.3308778995107839E-3</v>
      </c>
      <c r="L62" s="7">
        <f t="shared" si="3"/>
        <v>126.83046611669437</v>
      </c>
      <c r="M62" s="7">
        <f t="shared" si="4"/>
        <v>137.81200711736636</v>
      </c>
      <c r="N62" s="7">
        <f t="shared" si="5"/>
        <v>129.21059146760996</v>
      </c>
      <c r="O62" s="7">
        <f t="shared" si="7"/>
        <v>-1.8420512775937814E-2</v>
      </c>
      <c r="P62" s="7">
        <f t="shared" si="6"/>
        <v>140.06561166784542</v>
      </c>
      <c r="Q62" s="7">
        <f t="shared" si="1"/>
        <v>-1.6089634876427006E-2</v>
      </c>
      <c r="R62" s="7"/>
      <c r="S62" s="7"/>
      <c r="T62" s="7"/>
    </row>
    <row r="63" spans="1:20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FCBC-AC98-0246-B5CB-7CE9733B675E}">
  <sheetPr codeName="Sheet4"/>
  <dimension ref="A1:I27"/>
  <sheetViews>
    <sheetView workbookViewId="0">
      <selection activeCell="J41" sqref="J41"/>
    </sheetView>
  </sheetViews>
  <sheetFormatPr baseColWidth="10" defaultRowHeight="15" x14ac:dyDescent="0.2"/>
  <cols>
    <col min="1" max="1" width="24.6640625" customWidth="1"/>
  </cols>
  <sheetData>
    <row r="1" spans="1:9" x14ac:dyDescent="0.2">
      <c r="A1" s="12" t="s">
        <v>30</v>
      </c>
      <c r="B1" s="7"/>
      <c r="C1" s="7"/>
      <c r="D1" s="7"/>
      <c r="E1" s="7"/>
      <c r="F1" s="7"/>
      <c r="G1" s="7"/>
      <c r="H1" s="7"/>
      <c r="I1" s="7"/>
    </row>
    <row r="2" spans="1:9" x14ac:dyDescent="0.2">
      <c r="A2" s="8"/>
      <c r="B2" s="7"/>
      <c r="C2" s="7"/>
      <c r="D2" s="7"/>
      <c r="E2" s="7"/>
      <c r="F2" s="7"/>
      <c r="G2" s="7"/>
      <c r="H2" s="7"/>
      <c r="I2" s="7"/>
    </row>
    <row r="3" spans="1:9" x14ac:dyDescent="0.2">
      <c r="A3" s="12" t="s">
        <v>31</v>
      </c>
      <c r="B3" s="13">
        <v>0.03</v>
      </c>
      <c r="C3" s="7"/>
      <c r="D3" s="7"/>
      <c r="E3" s="7"/>
      <c r="F3" s="7"/>
      <c r="G3" s="7"/>
      <c r="H3" s="7"/>
      <c r="I3" s="7"/>
    </row>
    <row r="4" spans="1:9" x14ac:dyDescent="0.2">
      <c r="A4" s="7"/>
      <c r="B4" s="7"/>
      <c r="C4" s="7"/>
      <c r="D4" s="7"/>
      <c r="E4" s="7"/>
      <c r="F4" s="7"/>
      <c r="G4" s="7"/>
      <c r="H4" s="7"/>
      <c r="I4" s="7"/>
    </row>
    <row r="5" spans="1:9" x14ac:dyDescent="0.2">
      <c r="A5" s="8"/>
      <c r="B5" s="8" t="s">
        <v>19</v>
      </c>
      <c r="C5" s="8" t="s">
        <v>19</v>
      </c>
      <c r="D5" s="8" t="s">
        <v>19</v>
      </c>
      <c r="E5" s="8" t="s">
        <v>20</v>
      </c>
      <c r="F5" s="8" t="s">
        <v>20</v>
      </c>
      <c r="G5" s="8" t="s">
        <v>20</v>
      </c>
      <c r="H5" s="7"/>
      <c r="I5" s="7"/>
    </row>
    <row r="6" spans="1:9" x14ac:dyDescent="0.2">
      <c r="A6" s="7" t="s">
        <v>32</v>
      </c>
      <c r="B6" s="7" t="s">
        <v>42</v>
      </c>
      <c r="C6" s="7" t="s">
        <v>43</v>
      </c>
      <c r="D6" s="7" t="s">
        <v>44</v>
      </c>
      <c r="E6" s="7" t="s">
        <v>42</v>
      </c>
      <c r="F6" s="7" t="s">
        <v>43</v>
      </c>
      <c r="G6" s="7" t="s">
        <v>44</v>
      </c>
      <c r="H6" s="7"/>
      <c r="I6" s="7"/>
    </row>
    <row r="7" spans="1:9" x14ac:dyDescent="0.2">
      <c r="A7" s="7" t="s">
        <v>33</v>
      </c>
      <c r="B7" s="7">
        <v>12</v>
      </c>
      <c r="C7" s="7">
        <v>36</v>
      </c>
      <c r="D7" s="7">
        <v>60</v>
      </c>
      <c r="E7" s="7">
        <v>12</v>
      </c>
      <c r="F7" s="7">
        <v>36</v>
      </c>
      <c r="G7" s="7">
        <v>60</v>
      </c>
      <c r="H7" s="7"/>
      <c r="I7" s="7"/>
    </row>
    <row r="8" spans="1:9" x14ac:dyDescent="0.2">
      <c r="A8" s="7" t="s">
        <v>34</v>
      </c>
      <c r="B8" s="7" cm="1">
        <f t="array" ref="B8">Calc!$L$62/INDEX(Calc!$L$2:$L$62,ROWS(Calc!$L$2:$L$62)-B$7)-1</f>
        <v>6.5347824872622029E-2</v>
      </c>
      <c r="C8" s="7" cm="1">
        <f t="array" ref="C8">Calc!$L$62/INDEX(Calc!$L$2:$L$62,ROWS(Calc!$L$2:$L$62)-C$7)-1</f>
        <v>0.3929552682928783</v>
      </c>
      <c r="D8" s="7" cm="1">
        <f t="array" ref="D8">Calc!$L$62/INDEX(Calc!$L$2:$L$62,ROWS(Calc!$L$2:$L$62)-D$7)-1</f>
        <v>0.26830466116694374</v>
      </c>
      <c r="E8" s="7" cm="1">
        <f t="array" ref="E8">Calc!$M$62/INDEX(Calc!$M$2:$M$62,ROWS(Calc!$M$2:ML$62)-B$7)-1</f>
        <v>9.2320088019525626E-2</v>
      </c>
      <c r="F8" s="7" cm="1">
        <f t="array" ref="F8">Calc!$M$62/INDEX(Calc!$M$2:$M$62,ROWS(Calc!$M$2:MM$62)-C$7)-1</f>
        <v>0.49717500926327562</v>
      </c>
      <c r="G8" s="7" cm="1">
        <f t="array" ref="G8">Calc!$M$62/INDEX(Calc!$M$2:$M$62,ROWS(Calc!$M$2:MN$62)-D$7)-1</f>
        <v>0.37812007117366364</v>
      </c>
      <c r="H8" s="7"/>
      <c r="I8" s="7"/>
    </row>
    <row r="9" spans="1:9" x14ac:dyDescent="0.2">
      <c r="A9" s="7" t="s">
        <v>35</v>
      </c>
      <c r="B9" s="7">
        <f>(1+B8)^(12/B$7)-1</f>
        <v>6.5347824872622029E-2</v>
      </c>
      <c r="C9" s="7">
        <f t="shared" ref="C9:D9" si="0">(1+C8)^(12/C$7)-1</f>
        <v>0.11680938988015499</v>
      </c>
      <c r="D9" s="7">
        <f t="shared" si="0"/>
        <v>4.8684182980519353E-2</v>
      </c>
      <c r="E9" s="7">
        <f t="shared" ref="E9" si="1">(1+E8)^(12/E$7)-1</f>
        <v>9.2320088019525626E-2</v>
      </c>
      <c r="F9" s="7">
        <f t="shared" ref="F9" si="2">(1+F8)^(12/F$7)-1</f>
        <v>0.14399516713916238</v>
      </c>
      <c r="G9" s="7">
        <f t="shared" ref="G9" si="3">(1+G8)^(12/G$7)-1</f>
        <v>6.6245991772325263E-2</v>
      </c>
      <c r="H9" s="7"/>
      <c r="I9" s="7"/>
    </row>
    <row r="10" spans="1:9" x14ac:dyDescent="0.2">
      <c r="A10" s="7" t="s">
        <v>36</v>
      </c>
      <c r="B10" s="7">
        <f>_xlfn.STDEV.S(INDEX(Calc!$I$3:$I$62,ROWS(Calc!$I$3:$I$62)-B$7+1):'Calc'!$I$62)*SQRT(12)</f>
        <v>7.3806488268840245E-2</v>
      </c>
      <c r="C10" s="7">
        <f>_xlfn.STDEV.S(INDEX(Calc!$I$3:$I$62,ROWS(Calc!$I$3:$I$62)-C$7+1):'Calc'!$I$62)*SQRT(12)</f>
        <v>7.7418425769007981E-2</v>
      </c>
      <c r="D10" s="7">
        <f>_xlfn.STDEV.S(INDEX(Calc!$I$3:$I$62,ROWS(Calc!$I$3:$I$62)-D$7+1):'Calc'!$I$62)*SQRT(12)</f>
        <v>9.8145804846844528E-2</v>
      </c>
      <c r="E10" s="7">
        <f>_xlfn.STDEV.S(INDEX(Calc!$J$3:$J$62,ROWS(Calc!$J$3:$J$62)-B$7+1):'Calc'!$J$62)*SQRT(12)</f>
        <v>8.6607724793461224E-2</v>
      </c>
      <c r="F10" s="7">
        <f>_xlfn.STDEV.S(INDEX(Calc!$J$3:$J$62,ROWS(Calc!$J$3:$J$62)-C$7+1):'Calc'!$J$62)*SQRT(12)</f>
        <v>8.542934764374123E-2</v>
      </c>
      <c r="G10" s="7">
        <f>_xlfn.STDEV.S(INDEX(Calc!$J$3:$J$62,ROWS(Calc!$J$3:$J$62)-D$7+1):'Calc'!$J$62)*SQRT(12)</f>
        <v>0.10946569629772615</v>
      </c>
      <c r="H10" s="7"/>
      <c r="I10" s="7"/>
    </row>
    <row r="11" spans="1:9" x14ac:dyDescent="0.2">
      <c r="A11" s="7" t="s">
        <v>37</v>
      </c>
      <c r="B11" s="7">
        <f>(B9-$B$3)/B10</f>
        <v>0.4789257110278371</v>
      </c>
      <c r="C11" s="7">
        <f t="shared" ref="C11:G11" si="4">(C9-$B$3)/C10</f>
        <v>1.1213014087778879</v>
      </c>
      <c r="D11" s="7">
        <f t="shared" si="4"/>
        <v>0.19037169250051819</v>
      </c>
      <c r="E11" s="7">
        <f t="shared" ref="E11" si="5">(E9-$B$3)/E10</f>
        <v>0.71956731536527696</v>
      </c>
      <c r="F11" s="7">
        <f t="shared" ref="F11" si="6">(F9-$B$3)/F10</f>
        <v>1.3343794642392304</v>
      </c>
      <c r="G11" s="7">
        <f t="shared" si="4"/>
        <v>0.3311173545522697</v>
      </c>
      <c r="H11" s="7"/>
      <c r="I11" s="7"/>
    </row>
    <row r="12" spans="1:9" x14ac:dyDescent="0.2">
      <c r="A12" s="7" t="s">
        <v>38</v>
      </c>
      <c r="B12" s="7">
        <f>B9-E9</f>
        <v>-2.6972263146903597E-2</v>
      </c>
      <c r="C12" s="7">
        <f t="shared" ref="C12:D12" si="7">C9-F9</f>
        <v>-2.7185777259007393E-2</v>
      </c>
      <c r="D12" s="7">
        <f t="shared" si="7"/>
        <v>-1.7561808791805911E-2</v>
      </c>
      <c r="E12" s="7"/>
      <c r="F12" s="7"/>
      <c r="G12" s="7"/>
      <c r="H12" s="7"/>
      <c r="I12" s="7"/>
    </row>
    <row r="13" spans="1:9" x14ac:dyDescent="0.2">
      <c r="A13" s="7" t="s">
        <v>39</v>
      </c>
      <c r="B13" s="7">
        <f>_xlfn.STDEV.S(INDEX(Calc!$K$3:$K$62,ROWS(Calc!$K$3:$K$62)-B$7+1):'Calc'!$K$62)*SQRT(12)</f>
        <v>1.8813439860260288E-2</v>
      </c>
      <c r="C13" s="7">
        <f>_xlfn.STDEV.S(INDEX(Calc!$K$3:$K$62,ROWS(Calc!$K$3:$K$62)-C$7+1):'Calc'!$K$62)*SQRT(12)</f>
        <v>1.5712393320609728E-2</v>
      </c>
      <c r="D13" s="7">
        <f>_xlfn.STDEV.S(INDEX(Calc!$K$3:$K$62,ROWS(Calc!$K$3:$K$62)-D$7+1):'Calc'!$K$62)*SQRT(12)</f>
        <v>1.6889130715170411E-2</v>
      </c>
      <c r="E13" s="7"/>
      <c r="F13" s="7"/>
      <c r="G13" s="7"/>
      <c r="H13" s="7"/>
      <c r="I13" s="7"/>
    </row>
    <row r="14" spans="1:9" x14ac:dyDescent="0.2">
      <c r="A14" s="7" t="s">
        <v>40</v>
      </c>
      <c r="B14" s="7">
        <f>B12/B13</f>
        <v>-1.4336699374088004</v>
      </c>
      <c r="C14" s="7">
        <f t="shared" ref="C14:D14" si="8">C12/C13</f>
        <v>-1.7302123683059911</v>
      </c>
      <c r="D14" s="7">
        <f t="shared" si="8"/>
        <v>-1.0398290526599618</v>
      </c>
      <c r="E14" s="7"/>
      <c r="F14" s="7"/>
      <c r="G14" s="7"/>
      <c r="H14" s="7"/>
      <c r="I14" s="7"/>
    </row>
    <row r="15" spans="1:9" x14ac:dyDescent="0.2">
      <c r="A15" s="7" t="s">
        <v>41</v>
      </c>
      <c r="B15" s="7">
        <f>MIN(Calc!$O$2:$O$62)</f>
        <v>-0.19502199857377067</v>
      </c>
      <c r="C15" s="7">
        <f>MIN(Calc!$O$2:$O$62)</f>
        <v>-0.19502199857377067</v>
      </c>
      <c r="D15" s="7">
        <f>MIN(Calc!$O$2:$O$62)</f>
        <v>-0.19502199857377067</v>
      </c>
      <c r="E15" s="7"/>
      <c r="F15" s="7"/>
      <c r="G15" s="7">
        <f>MIN(Calc!$Q$2:$Q$62)</f>
        <v>-0.21149155332255021</v>
      </c>
      <c r="H15" s="7"/>
      <c r="I15" s="7"/>
    </row>
    <row r="16" spans="1:9" x14ac:dyDescent="0.2">
      <c r="A16" s="7"/>
      <c r="B16" s="7"/>
      <c r="C16" s="7"/>
      <c r="D16" s="7"/>
      <c r="E16" s="7"/>
      <c r="F16" s="7"/>
      <c r="G16" s="7"/>
      <c r="H16" s="7"/>
      <c r="I16" s="7"/>
    </row>
    <row r="17" spans="1:9" x14ac:dyDescent="0.2">
      <c r="A17" s="7"/>
      <c r="B17" s="7"/>
      <c r="C17" s="7"/>
      <c r="D17" s="7"/>
      <c r="E17" s="7"/>
      <c r="F17" s="7"/>
      <c r="G17" s="7"/>
      <c r="H17" s="7"/>
      <c r="I17" s="7"/>
    </row>
    <row r="18" spans="1:9" x14ac:dyDescent="0.2">
      <c r="A18" s="8" t="s">
        <v>85</v>
      </c>
      <c r="B18" s="8" t="s">
        <v>86</v>
      </c>
      <c r="C18" s="8" t="s">
        <v>87</v>
      </c>
      <c r="D18" s="7"/>
      <c r="E18" s="7"/>
      <c r="F18" s="7"/>
      <c r="G18" s="7"/>
      <c r="H18" s="7"/>
      <c r="I18" s="7"/>
    </row>
    <row r="19" spans="1:9" x14ac:dyDescent="0.2">
      <c r="A19" s="7" t="s">
        <v>1</v>
      </c>
      <c r="B19" s="18">
        <f>_xlfn.STDEV.S(Calc!B3:B62)*SQRT(12)</f>
        <v>0.15931095583400232</v>
      </c>
      <c r="C19" s="18">
        <f>(AdjPrice!B62/AdjPrice!B2)^(12/(ROWS(AdjPrice!B2:B62)-1))-1</f>
        <v>0.12617984623029743</v>
      </c>
      <c r="D19" s="7"/>
      <c r="E19" s="7"/>
      <c r="F19" s="7"/>
      <c r="G19" s="7"/>
      <c r="H19" s="7"/>
      <c r="I19" s="7"/>
    </row>
    <row r="20" spans="1:9" x14ac:dyDescent="0.2">
      <c r="A20" s="7" t="s">
        <v>2</v>
      </c>
      <c r="B20" s="4">
        <f>_xlfn.STDEV.S(Calc!C3:C62)*SQRT(12)</f>
        <v>0.15139006757631801</v>
      </c>
      <c r="C20" s="18">
        <f>(AdjPrice!C62/AdjPrice!C2)^(12/(ROWS(AdjPrice!C2:C62)-1))-1</f>
        <v>9.5149995264648179E-2</v>
      </c>
      <c r="D20" s="7"/>
      <c r="E20" s="7"/>
      <c r="F20" s="7"/>
      <c r="G20" s="7"/>
      <c r="H20" s="7"/>
      <c r="I20" s="7"/>
    </row>
    <row r="21" spans="1:9" x14ac:dyDescent="0.2">
      <c r="A21" s="7" t="s">
        <v>3</v>
      </c>
      <c r="B21" s="4">
        <f>_xlfn.STDEV.S(Calc!D3:D62)*SQRT(12)</f>
        <v>0.19130698313004293</v>
      </c>
      <c r="C21" s="4">
        <f>(AdjPrice!D62/AdjPrice!D2)^(12/(ROWS(AdjPrice!D2:D62)-1))-1</f>
        <v>1.5617473064943432E-2</v>
      </c>
      <c r="D21" s="7"/>
      <c r="E21" s="7"/>
      <c r="F21" s="7"/>
      <c r="G21" s="7"/>
      <c r="H21" s="7"/>
      <c r="I21" s="7"/>
    </row>
    <row r="22" spans="1:9" x14ac:dyDescent="0.2">
      <c r="A22" s="7" t="s">
        <v>4</v>
      </c>
      <c r="B22" s="4">
        <f>_xlfn.STDEV.S(Calc!E3:E62)*SQRT(12)</f>
        <v>6.4461536640404715E-2</v>
      </c>
      <c r="C22" s="4">
        <f>(AdjPrice!E62/AdjPrice!E2)^(12/(ROWS(AdjPrice!E2:E62)-1))-1</f>
        <v>-6.0312968019955449E-3</v>
      </c>
      <c r="D22" s="7"/>
      <c r="E22" s="7"/>
      <c r="F22" s="7"/>
      <c r="G22" s="7"/>
      <c r="H22" s="7"/>
      <c r="I22" s="7"/>
    </row>
    <row r="23" spans="1:9" x14ac:dyDescent="0.2">
      <c r="A23" s="7" t="s">
        <v>5</v>
      </c>
      <c r="B23" s="4">
        <f>_xlfn.STDEV.S(Calc!F3:F62)*SQRT(12)</f>
        <v>5.3424772080894405E-2</v>
      </c>
      <c r="C23" s="4">
        <f>(AdjPrice!F62/AdjPrice!F2)^(12/(ROWS(AdjPrice!F2:F62)-1))-1</f>
        <v>-4.8511884369817349E-4</v>
      </c>
      <c r="D23" s="7"/>
      <c r="E23" s="7"/>
      <c r="F23" s="7"/>
      <c r="G23" s="7"/>
      <c r="H23" s="7"/>
      <c r="I23" s="7"/>
    </row>
    <row r="24" spans="1:9" x14ac:dyDescent="0.2">
      <c r="A24" s="7" t="s">
        <v>6</v>
      </c>
      <c r="B24" s="4">
        <f>_xlfn.STDEV.S(Calc!G3:G62)*SQRT(12)</f>
        <v>5.7043519613635607E-3</v>
      </c>
      <c r="C24" s="4">
        <f>(AdjPrice!G62/AdjPrice!G2)^(12/(ROWS(AdjPrice!G2:G62)-1))-1</f>
        <v>3.5524034379971647E-2</v>
      </c>
      <c r="D24" s="7"/>
      <c r="E24" s="7"/>
      <c r="F24" s="7"/>
      <c r="G24" s="7"/>
      <c r="H24" s="7"/>
      <c r="I24" s="7"/>
    </row>
    <row r="25" spans="1:9" x14ac:dyDescent="0.2">
      <c r="A25" s="7" t="s">
        <v>1</v>
      </c>
      <c r="B25" s="4">
        <f>_xlfn.STDEV.S(Calc!H3:H62)*SQRT(12)</f>
        <v>0.14905732503126407</v>
      </c>
      <c r="C25" s="4">
        <f>(AdjPrice!H62/AdjPrice!H2)^(12/(ROWS(AdjPrice!H2:H62)-1))-1</f>
        <v>0.11436061441929191</v>
      </c>
      <c r="D25" s="7"/>
      <c r="E25" s="7"/>
      <c r="F25" s="7"/>
      <c r="G25" s="7"/>
      <c r="H25" s="7"/>
      <c r="I25" s="7"/>
    </row>
    <row r="26" spans="1:9" x14ac:dyDescent="0.2">
      <c r="A26" s="7" t="s">
        <v>19</v>
      </c>
      <c r="B26" s="4">
        <f>Metrics!D10</f>
        <v>9.8145804846844528E-2</v>
      </c>
      <c r="C26" s="4">
        <f>Metrics!D9</f>
        <v>4.8684182980519353E-2</v>
      </c>
      <c r="D26" s="7"/>
      <c r="E26" s="7"/>
      <c r="F26" s="7"/>
      <c r="G26" s="7"/>
      <c r="H26" s="7"/>
      <c r="I26" s="7"/>
    </row>
    <row r="27" spans="1:9" x14ac:dyDescent="0.2">
      <c r="A27" s="7" t="s">
        <v>20</v>
      </c>
      <c r="B27" s="4">
        <f>Metrics!G10</f>
        <v>0.10946569629772615</v>
      </c>
      <c r="C27" s="4">
        <f>Metrics!G9</f>
        <v>6.6245991772325263E-2</v>
      </c>
      <c r="D27" s="7"/>
      <c r="E27" s="7"/>
      <c r="F27" s="7"/>
      <c r="G27" s="7"/>
      <c r="H27" s="7"/>
      <c r="I2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EB1C-1F99-EE40-BA0E-17C665086D7B}">
  <sheetPr codeName="Sheet5"/>
  <dimension ref="A1:R73"/>
  <sheetViews>
    <sheetView workbookViewId="0">
      <selection activeCell="A3" sqref="A3:E5"/>
    </sheetView>
  </sheetViews>
  <sheetFormatPr baseColWidth="10" defaultRowHeight="15" x14ac:dyDescent="0.2"/>
  <cols>
    <col min="1" max="1" width="15.5" customWidth="1"/>
    <col min="3" max="3" width="11.83203125" customWidth="1"/>
    <col min="7" max="7" width="13.5" customWidth="1"/>
    <col min="8" max="8" width="11.33203125" customWidth="1"/>
    <col min="14" max="14" width="11.5" customWidth="1"/>
    <col min="17" max="17" width="12.1640625" customWidth="1"/>
  </cols>
  <sheetData>
    <row r="1" spans="1:18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 t="s">
        <v>61</v>
      </c>
      <c r="R1" s="7"/>
    </row>
    <row r="2" spans="1:18" x14ac:dyDescent="0.2">
      <c r="A2" s="7"/>
      <c r="B2" s="7"/>
      <c r="C2" s="7"/>
      <c r="D2" s="7"/>
      <c r="E2" s="7"/>
      <c r="F2" s="7"/>
      <c r="G2" s="7"/>
      <c r="H2" s="7" t="s">
        <v>55</v>
      </c>
      <c r="I2" s="7" t="s">
        <v>56</v>
      </c>
      <c r="J2" s="7" t="s">
        <v>57</v>
      </c>
      <c r="K2" s="7" t="s">
        <v>10</v>
      </c>
      <c r="L2" s="7" t="s">
        <v>59</v>
      </c>
      <c r="M2" s="7"/>
      <c r="N2" s="7"/>
      <c r="O2" s="7"/>
      <c r="P2" s="7"/>
      <c r="Q2" s="7" t="str">
        <f>IF(COUNTIF(O10:O69,"FAIL")=0,"PASS","FAIL")</f>
        <v>PASS</v>
      </c>
      <c r="R2" s="7"/>
    </row>
    <row r="3" spans="1:18" x14ac:dyDescent="0.2">
      <c r="A3" s="8" t="s">
        <v>45</v>
      </c>
      <c r="B3" s="7" t="s">
        <v>46</v>
      </c>
      <c r="C3" s="7" t="s">
        <v>15</v>
      </c>
      <c r="D3" s="7" t="s">
        <v>16</v>
      </c>
      <c r="E3" s="7" t="s">
        <v>17</v>
      </c>
      <c r="F3" s="7"/>
      <c r="G3" s="7" t="s">
        <v>79</v>
      </c>
      <c r="H3" s="7">
        <f>SUM(J58:J69)</f>
        <v>-2.8218614889229002E-2</v>
      </c>
      <c r="I3" s="7">
        <f>SUM(K58:K69)</f>
        <v>2.4174938292742245E-3</v>
      </c>
      <c r="J3" s="7">
        <f>SUM(L58:L69)</f>
        <v>-2.9171787169173966E-4</v>
      </c>
      <c r="K3" s="7">
        <f>SUM(H3:J3)</f>
        <v>-2.6092838931646517E-2</v>
      </c>
      <c r="L3" s="7">
        <f>SUM(N58:N69)</f>
        <v>-2.6092838931646514E-2</v>
      </c>
      <c r="M3" s="7"/>
      <c r="N3" s="7"/>
      <c r="O3" s="7"/>
      <c r="P3" s="7"/>
      <c r="Q3" s="7"/>
      <c r="R3" s="7"/>
    </row>
    <row r="4" spans="1:18" x14ac:dyDescent="0.2">
      <c r="A4" s="8" t="s">
        <v>13</v>
      </c>
      <c r="B4" s="10">
        <f>Weights!B3+Weights!C3+Weights!H3</f>
        <v>0.4</v>
      </c>
      <c r="C4" s="10">
        <f>Weights!D3</f>
        <v>0.1</v>
      </c>
      <c r="D4" s="10">
        <f>Weights!E3+Weights!F3</f>
        <v>0.44999999999999996</v>
      </c>
      <c r="E4" s="10">
        <f>Weights!G3</f>
        <v>0.05</v>
      </c>
      <c r="F4" s="7"/>
      <c r="G4" s="7" t="s">
        <v>80</v>
      </c>
      <c r="H4" s="7">
        <f>SUM(J10:J69)</f>
        <v>-9.5224564726671582E-2</v>
      </c>
      <c r="I4" s="7">
        <f>SUM(K10:K69)</f>
        <v>6.7370521990447723E-3</v>
      </c>
      <c r="J4" s="7">
        <f>SUM(L10:L69)</f>
        <v>-7.413468044744141E-4</v>
      </c>
      <c r="K4" s="7">
        <f>SUM(H4:J4)</f>
        <v>-8.9228859332101215E-2</v>
      </c>
      <c r="L4" s="7">
        <f>SUM(N10:N69)</f>
        <v>-8.9228859332101215E-2</v>
      </c>
      <c r="M4" s="7"/>
      <c r="N4" s="7"/>
      <c r="O4" s="7"/>
      <c r="P4" s="7"/>
      <c r="Q4" s="7"/>
      <c r="R4" s="7"/>
    </row>
    <row r="5" spans="1:18" x14ac:dyDescent="0.2">
      <c r="A5" s="8" t="s">
        <v>12</v>
      </c>
      <c r="B5" s="10">
        <f>Weights!B4+Weights!C4+Weights!H4</f>
        <v>0.6</v>
      </c>
      <c r="C5" s="10">
        <f>Weights!D4</f>
        <v>0</v>
      </c>
      <c r="D5" s="10">
        <f>Weights!E4+Weights!F4</f>
        <v>0.4</v>
      </c>
      <c r="E5" s="10">
        <f>Weights!G4</f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16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R7" s="5">
        <f>SUM(M10:M69)-SUM(N10:N69)</f>
        <v>0</v>
      </c>
    </row>
    <row r="8" spans="1:18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8" s="2" customFormat="1" x14ac:dyDescent="0.2">
      <c r="A9" s="8" t="s">
        <v>0</v>
      </c>
      <c r="B9" s="8" t="s">
        <v>47</v>
      </c>
      <c r="C9" s="8" t="s">
        <v>48</v>
      </c>
      <c r="D9" s="8" t="s">
        <v>49</v>
      </c>
      <c r="E9" s="8" t="s">
        <v>50</v>
      </c>
      <c r="F9" s="8" t="s">
        <v>51</v>
      </c>
      <c r="G9" s="8" t="s">
        <v>52</v>
      </c>
      <c r="H9" s="8" t="s">
        <v>53</v>
      </c>
      <c r="I9" s="8" t="s">
        <v>54</v>
      </c>
      <c r="J9" s="8" t="s">
        <v>55</v>
      </c>
      <c r="K9" s="8" t="s">
        <v>56</v>
      </c>
      <c r="L9" s="8" t="s">
        <v>57</v>
      </c>
      <c r="M9" s="8" t="s">
        <v>58</v>
      </c>
      <c r="N9" s="8" t="s">
        <v>59</v>
      </c>
      <c r="O9" s="8" t="s">
        <v>60</v>
      </c>
      <c r="P9" s="8"/>
    </row>
    <row r="10" spans="1:18" x14ac:dyDescent="0.2">
      <c r="A10" s="11">
        <f>Calc!A3</f>
        <v>44470</v>
      </c>
      <c r="B10" s="7">
        <f>(Calc!B3*Weights!$B$3+Calc!C3*Weights!$C$3+Calc!H3*Weights!$H$3)/$B$4</f>
        <v>5.2584894916607866E-2</v>
      </c>
      <c r="C10" s="7">
        <f>Calc!D3</f>
        <v>7.1330247951826298E-2</v>
      </c>
      <c r="D10" s="7">
        <f>(Calc!E3*Weights!$E$3+Calc!F3*Weights!$F$3)/$D$4</f>
        <v>-1.0069758514405318E-3</v>
      </c>
      <c r="E10" s="7">
        <f>Calc!G3</f>
        <v>-2.7109759430821168E-4</v>
      </c>
      <c r="F10" s="7">
        <f>Calc!H3</f>
        <v>5.145831319941907E-2</v>
      </c>
      <c r="G10" s="7">
        <f>Calc!D3</f>
        <v>7.1330247951826298E-2</v>
      </c>
      <c r="H10" s="7">
        <f>Calc!E3</f>
        <v>7.0307376615685868E-4</v>
      </c>
      <c r="I10" s="7">
        <f>Calc!G3</f>
        <v>-2.7109759430821168E-4</v>
      </c>
      <c r="J10" s="7" cm="1">
        <f t="array" ref="J10">SUMPRODUCT($B$4:$E$4-$B$5:$E$5,F10:I10-Calc!J3)</f>
        <v>-3.1370390361087487E-3</v>
      </c>
      <c r="K10" s="7" cm="1">
        <f t="array" ref="K10">SUMPRODUCT($B$5:$E$5,B10:E10-F10:I10)</f>
        <v>-8.0708167256787278E-6</v>
      </c>
      <c r="L10" s="7" cm="1">
        <f t="array" ref="L10">SUMPRODUCT($B$4:$E$4-$B$5:$E$5,B10:E10-F10:I10)</f>
        <v>-3.1081882431762857E-4</v>
      </c>
      <c r="M10" s="7">
        <f>J10+K10+L10</f>
        <v>-3.4559286771520558E-3</v>
      </c>
      <c r="N10" s="7">
        <f>Calc!K3</f>
        <v>-3.4559286771520571E-3</v>
      </c>
      <c r="O10" s="7" t="str">
        <f>IF(ABS(M10-N10)&lt;0.000001,"PASS","FAIL")</f>
        <v>PASS</v>
      </c>
      <c r="P10" s="7"/>
    </row>
    <row r="11" spans="1:18" x14ac:dyDescent="0.2">
      <c r="A11" s="11">
        <f>Calc!A4</f>
        <v>44501</v>
      </c>
      <c r="B11" s="7">
        <f>(Calc!B4*Weights!$B$3+Calc!C4*Weights!$C$3+Calc!H4*Weights!$H$3)/$B$4</f>
        <v>-2.5089142942447865E-2</v>
      </c>
      <c r="C11" s="7">
        <f>Calc!D4</f>
        <v>-2.1093215621416972E-2</v>
      </c>
      <c r="D11" s="7">
        <f>(Calc!E4*Weights!$E$3+Calc!F4*Weights!$F$3)/$D$4</f>
        <v>4.8865246480971347E-3</v>
      </c>
      <c r="E11" s="7">
        <f>Calc!G4</f>
        <v>-4.5297056261273116E-4</v>
      </c>
      <c r="F11" s="7">
        <f>Calc!H4</f>
        <v>-2.6151164305990071E-2</v>
      </c>
      <c r="G11" s="7">
        <f>Calc!D4</f>
        <v>-2.1093215621416972E-2</v>
      </c>
      <c r="H11" s="7">
        <f>Calc!E4</f>
        <v>2.0412548686179477E-3</v>
      </c>
      <c r="I11" s="7">
        <f>Calc!G4</f>
        <v>-4.5297056261273116E-4</v>
      </c>
      <c r="J11" s="7" cm="1">
        <f t="array" ref="J11">SUMPRODUCT($B$4:$E$4-$B$5:$E$5,F11:I11-Calc!J4)</f>
        <v>3.2003255143565764E-3</v>
      </c>
      <c r="K11" s="7" cm="1">
        <f t="array" ref="K11">SUMPRODUCT($B$5:$E$5,B11:E11-F11:I11)</f>
        <v>1.7753207299169987E-3</v>
      </c>
      <c r="L11" s="7" cm="1">
        <f t="array" ref="L11">SUMPRODUCT($B$4:$E$4-$B$5:$E$5,B11:E11-F11:I11)</f>
        <v>-7.0140783734482101E-5</v>
      </c>
      <c r="M11" s="7">
        <f t="shared" ref="M11:M69" si="0">J11+K11+L11</f>
        <v>4.9055054605390931E-3</v>
      </c>
      <c r="N11" s="7">
        <f>Calc!K4</f>
        <v>4.9055054605390922E-3</v>
      </c>
      <c r="O11" s="7" t="str">
        <f t="shared" ref="O11:O69" si="1">IF(ABS(M11-N11)&lt;0.000001,"PASS","FAIL")</f>
        <v>PASS</v>
      </c>
      <c r="P11" s="7"/>
    </row>
    <row r="12" spans="1:18" x14ac:dyDescent="0.2">
      <c r="A12" s="11">
        <f>Calc!A5</f>
        <v>44531</v>
      </c>
      <c r="B12" s="7">
        <f>(Calc!B5*Weights!$B$3+Calc!C5*Weights!$C$3+Calc!H5*Weights!$H$3)/$B$4</f>
        <v>3.7102797882605204E-2</v>
      </c>
      <c r="C12" s="7">
        <f>Calc!D5</f>
        <v>9.7055856657846551E-2</v>
      </c>
      <c r="D12" s="7">
        <f>(Calc!E5*Weights!$E$3+Calc!F5*Weights!$F$3)/$D$4</f>
        <v>-4.5595350321081902E-3</v>
      </c>
      <c r="E12" s="7">
        <f>Calc!G5</f>
        <v>2.7195508435773341E-4</v>
      </c>
      <c r="F12" s="7">
        <f>Calc!H5</f>
        <v>3.805924946199446E-2</v>
      </c>
      <c r="G12" s="7">
        <f>Calc!D5</f>
        <v>9.7055856657846551E-2</v>
      </c>
      <c r="H12" s="7">
        <f>Calc!E5</f>
        <v>-3.103217994550489E-3</v>
      </c>
      <c r="I12" s="7">
        <f>Calc!G5</f>
        <v>2.7195508435773341E-4</v>
      </c>
      <c r="J12" s="7" cm="1">
        <f t="array" ref="J12">SUMPRODUCT($B$4:$E$4-$B$5:$E$5,F12:I12-Calc!J5)</f>
        <v>1.9521726278761275E-3</v>
      </c>
      <c r="K12" s="7" cm="1">
        <f t="array" ref="K12">SUMPRODUCT($B$5:$E$5,B12:E12-F12:I12)</f>
        <v>-1.156397762656634E-3</v>
      </c>
      <c r="L12" s="7" cm="1">
        <f t="array" ref="L12">SUMPRODUCT($B$4:$E$4-$B$5:$E$5,B12:E12-F12:I12)</f>
        <v>1.1847446399996617E-4</v>
      </c>
      <c r="M12" s="7">
        <f t="shared" si="0"/>
        <v>9.1424932921945964E-4</v>
      </c>
      <c r="N12" s="7">
        <f>Calc!K5</f>
        <v>9.1424932921946311E-4</v>
      </c>
      <c r="O12" s="7" t="str">
        <f t="shared" si="1"/>
        <v>PASS</v>
      </c>
      <c r="P12" s="7"/>
    </row>
    <row r="13" spans="1:18" x14ac:dyDescent="0.2">
      <c r="A13" s="11">
        <f>Calc!A6</f>
        <v>44562</v>
      </c>
      <c r="B13" s="7">
        <f>(Calc!B6*Weights!$B$3+Calc!C6*Weights!$C$3+Calc!H6*Weights!$H$3)/$B$4</f>
        <v>-4.8489876696817855E-2</v>
      </c>
      <c r="C13" s="7">
        <f>Calc!D6</f>
        <v>-8.4216774224595947E-2</v>
      </c>
      <c r="D13" s="7">
        <f>(Calc!E6*Weights!$E$3+Calc!F6*Weights!$F$3)/$D$4</f>
        <v>-1.8358699369034226E-2</v>
      </c>
      <c r="E13" s="7">
        <f>Calc!G6</f>
        <v>-8.1498252641110103E-4</v>
      </c>
      <c r="F13" s="7">
        <f>Calc!H6</f>
        <v>-4.5797119364500261E-2</v>
      </c>
      <c r="G13" s="7">
        <f>Calc!D6</f>
        <v>-8.4216774224595947E-2</v>
      </c>
      <c r="H13" s="7">
        <f>Calc!E6</f>
        <v>-2.0648965054588353E-2</v>
      </c>
      <c r="I13" s="7">
        <f>Calc!G6</f>
        <v>-8.1498252641110103E-4</v>
      </c>
      <c r="J13" s="7" cm="1">
        <f t="array" ref="J13">SUMPRODUCT($B$4:$E$4-$B$5:$E$5,F13:I13-Calc!J6)</f>
        <v>-3.3545092860951648E-4</v>
      </c>
      <c r="K13" s="7" cm="1">
        <f t="array" ref="K13">SUMPRODUCT($B$5:$E$5,B13:E13-F13:I13)</f>
        <v>-6.9954812516890555E-4</v>
      </c>
      <c r="L13" s="7" cm="1">
        <f t="array" ref="L13">SUMPRODUCT($B$4:$E$4-$B$5:$E$5,B13:E13-F13:I13)</f>
        <v>6.530647507412249E-4</v>
      </c>
      <c r="M13" s="7">
        <f t="shared" si="0"/>
        <v>-3.8193430303719712E-4</v>
      </c>
      <c r="N13" s="7">
        <f>Calc!K6</f>
        <v>-3.8193430303719994E-4</v>
      </c>
      <c r="O13" s="7" t="str">
        <f t="shared" si="1"/>
        <v>PASS</v>
      </c>
      <c r="P13" s="7"/>
    </row>
    <row r="14" spans="1:18" x14ac:dyDescent="0.2">
      <c r="A14" s="11">
        <f>Calc!A7</f>
        <v>44593</v>
      </c>
      <c r="B14" s="7">
        <f>(Calc!B7*Weights!$B$3+Calc!C7*Weights!$C$3+Calc!H7*Weights!$H$3)/$B$4</f>
        <v>-2.622646740922642E-2</v>
      </c>
      <c r="C14" s="7">
        <f>Calc!D7</f>
        <v>-3.4826873401539449E-2</v>
      </c>
      <c r="D14" s="7">
        <f>(Calc!E7*Weights!$E$3+Calc!F7*Weights!$F$3)/$D$4</f>
        <v>-1.1775900434435587E-2</v>
      </c>
      <c r="E14" s="7">
        <f>Calc!G7</f>
        <v>-3.6272119109470591E-4</v>
      </c>
      <c r="F14" s="7">
        <f>Calc!H7</f>
        <v>-2.7704748414648428E-2</v>
      </c>
      <c r="G14" s="7">
        <f>Calc!D7</f>
        <v>-3.4826873401539449E-2</v>
      </c>
      <c r="H14" s="7">
        <f>Calc!E7</f>
        <v>-1.1380687480606277E-2</v>
      </c>
      <c r="I14" s="7">
        <f>Calc!G7</f>
        <v>-3.6272119109470591E-4</v>
      </c>
      <c r="J14" s="7" cm="1">
        <f t="array" ref="J14">SUMPRODUCT($B$4:$E$4-$B$5:$E$5,F14:I14-Calc!J7)</f>
        <v>1.4710919091906903E-3</v>
      </c>
      <c r="K14" s="7" cm="1">
        <f t="array" ref="K14">SUMPRODUCT($B$5:$E$5,B14:E14-F14:I14)</f>
        <v>7.2888342172148092E-4</v>
      </c>
      <c r="L14" s="7" cm="1">
        <f t="array" ref="L14">SUMPRODUCT($B$4:$E$4-$B$5:$E$5,B14:E14-F14:I14)</f>
        <v>-3.1541684877586703E-4</v>
      </c>
      <c r="M14" s="7">
        <f t="shared" si="0"/>
        <v>1.8845584821363041E-3</v>
      </c>
      <c r="N14" s="7">
        <f>Calc!K7</f>
        <v>1.884558482136308E-3</v>
      </c>
      <c r="O14" s="7" t="str">
        <f t="shared" si="1"/>
        <v>PASS</v>
      </c>
      <c r="P14" s="7"/>
    </row>
    <row r="15" spans="1:18" x14ac:dyDescent="0.2">
      <c r="A15" s="11">
        <f>Calc!A8</f>
        <v>44621</v>
      </c>
      <c r="B15" s="7">
        <f>(Calc!B8*Weights!$B$3+Calc!C8*Weights!$C$3+Calc!H8*Weights!$H$3)/$B$4</f>
        <v>1.9310540046545199E-2</v>
      </c>
      <c r="C15" s="7">
        <f>Calc!D8</f>
        <v>6.2639437794691943E-2</v>
      </c>
      <c r="D15" s="7">
        <f>(Calc!E8*Weights!$E$3+Calc!F8*Weights!$F$3)/$D$4</f>
        <v>-2.5774062557108905E-2</v>
      </c>
      <c r="E15" s="7">
        <f>Calc!G8</f>
        <v>-3.6277009457663656E-4</v>
      </c>
      <c r="F15" s="7">
        <f>Calc!H8</f>
        <v>1.8854205454724493E-2</v>
      </c>
      <c r="G15" s="7">
        <f>Calc!D8</f>
        <v>6.2639437794691943E-2</v>
      </c>
      <c r="H15" s="7">
        <f>Calc!E8</f>
        <v>-2.7521084926904194E-2</v>
      </c>
      <c r="I15" s="7">
        <f>Calc!G8</f>
        <v>-3.6277009457663656E-4</v>
      </c>
      <c r="J15" s="7" cm="1">
        <f t="array" ref="J15">SUMPRODUCT($B$4:$E$4-$B$5:$E$5,F15:I15-Calc!J8)</f>
        <v>1.0989099374502569E-3</v>
      </c>
      <c r="K15" s="7" cm="1">
        <f t="array" ref="K15">SUMPRODUCT($B$5:$E$5,B15:E15-F15:I15)</f>
        <v>9.7260970301053936E-4</v>
      </c>
      <c r="L15" s="7" cm="1">
        <f t="array" ref="L15">SUMPRODUCT($B$4:$E$4-$B$5:$E$5,B15:E15-F15:I15)</f>
        <v>-3.9157998743769034E-6</v>
      </c>
      <c r="M15" s="7">
        <f t="shared" si="0"/>
        <v>2.0676038405864194E-3</v>
      </c>
      <c r="N15" s="7">
        <f>Calc!K8</f>
        <v>2.0676038405864198E-3</v>
      </c>
      <c r="O15" s="7" t="str">
        <f t="shared" si="1"/>
        <v>PASS</v>
      </c>
      <c r="P15" s="7"/>
    </row>
    <row r="16" spans="1:18" x14ac:dyDescent="0.2">
      <c r="A16" s="11">
        <f>Calc!A9</f>
        <v>44652</v>
      </c>
      <c r="B16" s="7">
        <f>(Calc!B9*Weights!$B$3+Calc!C9*Weights!$C$3+Calc!H9*Weights!$H$3)/$B$4</f>
        <v>-8.1428186672729358E-2</v>
      </c>
      <c r="C16" s="7">
        <f>Calc!D9</f>
        <v>-4.0878692937555972E-2</v>
      </c>
      <c r="D16" s="7">
        <f>(Calc!E9*Weights!$E$3+Calc!F9*Weights!$F$3)/$D$4</f>
        <v>-3.6484088119199086E-2</v>
      </c>
      <c r="E16" s="7">
        <f>Calc!G9</f>
        <v>-2.9066890751183738E-4</v>
      </c>
      <c r="F16" s="7">
        <f>Calc!H9</f>
        <v>-8.0955758135845546E-2</v>
      </c>
      <c r="G16" s="7">
        <f>Calc!D9</f>
        <v>-4.0878692937555972E-2</v>
      </c>
      <c r="H16" s="7">
        <f>Calc!E9</f>
        <v>-3.9726774335073878E-2</v>
      </c>
      <c r="I16" s="7">
        <f>Calc!G9</f>
        <v>-2.9066890751183738E-4</v>
      </c>
      <c r="J16" s="7" cm="1">
        <f t="array" ref="J16">SUMPRODUCT($B$4:$E$4-$B$5:$E$5,F16:I16-Calc!J9)</f>
        <v>1.0102410171284224E-2</v>
      </c>
      <c r="K16" s="7" cm="1">
        <f t="array" ref="K16">SUMPRODUCT($B$5:$E$5,B16:E16-F16:I16)</f>
        <v>1.0136173642196296E-3</v>
      </c>
      <c r="L16" s="7" cm="1">
        <f t="array" ref="L16">SUMPRODUCT($B$4:$E$4-$B$5:$E$5,B16:E16-F16:I16)</f>
        <v>2.5662001817050177E-4</v>
      </c>
      <c r="M16" s="7">
        <f t="shared" si="0"/>
        <v>1.1372647553674356E-2</v>
      </c>
      <c r="N16" s="7">
        <f>Calc!K9</f>
        <v>1.1372647553674349E-2</v>
      </c>
      <c r="O16" s="7" t="str">
        <f t="shared" si="1"/>
        <v>PASS</v>
      </c>
      <c r="P16" s="7"/>
    </row>
    <row r="17" spans="1:16" x14ac:dyDescent="0.2">
      <c r="A17" s="11">
        <f>Calc!A10</f>
        <v>44682</v>
      </c>
      <c r="B17" s="7">
        <f>(Calc!B10*Weights!$B$3+Calc!C10*Weights!$C$3+Calc!H10*Weights!$H$3)/$B$4</f>
        <v>4.1350492656770229E-3</v>
      </c>
      <c r="C17" s="7">
        <f>Calc!D10</f>
        <v>-4.6854051947282871E-2</v>
      </c>
      <c r="D17" s="7">
        <f>(Calc!E10*Weights!$E$3+Calc!F10*Weights!$F$3)/$D$4</f>
        <v>3.2870887645251408E-3</v>
      </c>
      <c r="E17" s="7">
        <f>Calc!G10</f>
        <v>6.6303035910975083E-4</v>
      </c>
      <c r="F17" s="7">
        <f>Calc!H10</f>
        <v>4.9418197520281204E-3</v>
      </c>
      <c r="G17" s="7">
        <f>Calc!D10</f>
        <v>-4.6854051947282871E-2</v>
      </c>
      <c r="H17" s="7">
        <f>Calc!E10</f>
        <v>8.2972046802980426E-3</v>
      </c>
      <c r="I17" s="7">
        <f>Calc!G10</f>
        <v>6.6303035910975083E-4</v>
      </c>
      <c r="J17" s="7" cm="1">
        <f t="array" ref="J17">SUMPRODUCT($B$4:$E$4-$B$5:$E$5,F17:I17-Calc!J10)</f>
        <v>-5.2257573931635218E-3</v>
      </c>
      <c r="K17" s="7" cm="1">
        <f t="array" ref="K17">SUMPRODUCT($B$5:$E$5,B17:E17-F17:I17)</f>
        <v>-2.4881086581198192E-3</v>
      </c>
      <c r="L17" s="7" cm="1">
        <f t="array" ref="L17">SUMPRODUCT($B$4:$E$4-$B$5:$E$5,B17:E17-F17:I17)</f>
        <v>-8.9151698518425299E-5</v>
      </c>
      <c r="M17" s="7">
        <f t="shared" si="0"/>
        <v>-7.8030177498017664E-3</v>
      </c>
      <c r="N17" s="7">
        <f>Calc!K10</f>
        <v>-7.8030177498017664E-3</v>
      </c>
      <c r="O17" s="7" t="str">
        <f t="shared" si="1"/>
        <v>PASS</v>
      </c>
      <c r="P17" s="7"/>
    </row>
    <row r="18" spans="1:16" x14ac:dyDescent="0.2">
      <c r="A18" s="11">
        <f>Calc!A11</f>
        <v>44713</v>
      </c>
      <c r="B18" s="7">
        <f>(Calc!B11*Weights!$B$3+Calc!C11*Weights!$C$3+Calc!H11*Weights!$H$3)/$B$4</f>
        <v>-8.1215860558559894E-2</v>
      </c>
      <c r="C18" s="7">
        <f>Calc!D11</f>
        <v>-7.4488786449937283E-2</v>
      </c>
      <c r="D18" s="7">
        <f>(Calc!E11*Weights!$E$3+Calc!F11*Weights!$F$3)/$D$4</f>
        <v>-1.6820189572538134E-2</v>
      </c>
      <c r="E18" s="7">
        <f>Calc!G11</f>
        <v>-7.5332407972128479E-4</v>
      </c>
      <c r="F18" s="7">
        <f>Calc!H11</f>
        <v>-8.1217382465419763E-2</v>
      </c>
      <c r="G18" s="7">
        <f>Calc!D11</f>
        <v>-7.4488786449937283E-2</v>
      </c>
      <c r="H18" s="7">
        <f>Calc!E11</f>
        <v>-1.6620346861734081E-2</v>
      </c>
      <c r="I18" s="7">
        <f>Calc!G11</f>
        <v>-7.5332407972128479E-4</v>
      </c>
      <c r="J18" s="7" cm="1">
        <f t="array" ref="J18">SUMPRODUCT($B$4:$E$4-$B$5:$E$5,F18:I18-Calc!J11)</f>
        <v>7.9259143010174515E-3</v>
      </c>
      <c r="K18" s="7" cm="1">
        <f t="array" ref="K18">SUMPRODUCT($B$5:$E$5,B18:E18-F18:I18)</f>
        <v>-7.9023940205699692E-5</v>
      </c>
      <c r="L18" s="7" cm="1">
        <f t="array" ref="L18">SUMPRODUCT($B$4:$E$4-$B$5:$E$5,B18:E18-F18:I18)</f>
        <v>-1.0296516912176507E-5</v>
      </c>
      <c r="M18" s="7">
        <f t="shared" si="0"/>
        <v>7.8365938438995763E-3</v>
      </c>
      <c r="N18" s="7">
        <f>Calc!K11</f>
        <v>7.836593843899578E-3</v>
      </c>
      <c r="O18" s="7" t="str">
        <f t="shared" si="1"/>
        <v>PASS</v>
      </c>
      <c r="P18" s="7"/>
    </row>
    <row r="19" spans="1:16" x14ac:dyDescent="0.2">
      <c r="A19" s="11">
        <f>Calc!A12</f>
        <v>44743</v>
      </c>
      <c r="B19" s="7">
        <f>(Calc!B12*Weights!$B$3+Calc!C12*Weights!$C$3+Calc!H12*Weights!$H$3)/$B$4</f>
        <v>7.2078099316926741E-2</v>
      </c>
      <c r="C19" s="7">
        <f>Calc!D12</f>
        <v>8.615970535327544E-2</v>
      </c>
      <c r="D19" s="7">
        <f>(Calc!E12*Weights!$E$3+Calc!F12*Weights!$F$3)/$D$4</f>
        <v>2.6606783203445339E-2</v>
      </c>
      <c r="E19" s="7">
        <f>Calc!G12</f>
        <v>8.8160998488073794E-4</v>
      </c>
      <c r="F19" s="7">
        <f>Calc!H12</f>
        <v>6.9837951775659546E-2</v>
      </c>
      <c r="G19" s="7">
        <f>Calc!D12</f>
        <v>8.615970535327544E-2</v>
      </c>
      <c r="H19" s="7">
        <f>Calc!E12</f>
        <v>2.3818232526936489E-2</v>
      </c>
      <c r="I19" s="7">
        <f>Calc!G12</f>
        <v>8.8160998488073794E-4</v>
      </c>
      <c r="J19" s="7" cm="1">
        <f t="array" ref="J19">SUMPRODUCT($B$4:$E$4-$B$5:$E$5,F19:I19-Calc!J12)</f>
        <v>-4.1166276942135012E-3</v>
      </c>
      <c r="K19" s="7" cm="1">
        <f t="array" ref="K19">SUMPRODUCT($B$5:$E$5,B19:E19-F19:I19)</f>
        <v>2.4595087953638572E-3</v>
      </c>
      <c r="L19" s="7" cm="1">
        <f t="array" ref="L19">SUMPRODUCT($B$4:$E$4-$B$5:$E$5,B19:E19-F19:I19)</f>
        <v>-3.0860197442799672E-4</v>
      </c>
      <c r="M19" s="7">
        <f t="shared" si="0"/>
        <v>-1.9657208732776405E-3</v>
      </c>
      <c r="N19" s="7">
        <f>Calc!K12</f>
        <v>-1.9657208732776418E-3</v>
      </c>
      <c r="O19" s="7" t="str">
        <f t="shared" si="1"/>
        <v>PASS</v>
      </c>
      <c r="P19" s="7"/>
    </row>
    <row r="20" spans="1:16" x14ac:dyDescent="0.2">
      <c r="A20" s="11">
        <f>Calc!A13</f>
        <v>44774</v>
      </c>
      <c r="B20" s="7">
        <f>(Calc!B13*Weights!$B$3+Calc!C13*Weights!$C$3+Calc!H13*Weights!$H$3)/$B$4</f>
        <v>-4.0128921585908708E-2</v>
      </c>
      <c r="C20" s="7">
        <f>Calc!D13</f>
        <v>-6.0125223629999724E-2</v>
      </c>
      <c r="D20" s="7">
        <f>(Calc!E13*Weights!$E$3+Calc!F13*Weights!$F$3)/$D$4</f>
        <v>-3.0673088299321992E-2</v>
      </c>
      <c r="E20" s="7">
        <f>Calc!G13</f>
        <v>1.2816783916780317E-3</v>
      </c>
      <c r="F20" s="7">
        <f>Calc!H13</f>
        <v>-4.0525494708169685E-2</v>
      </c>
      <c r="G20" s="7">
        <f>Calc!D13</f>
        <v>-6.0125223629999724E-2</v>
      </c>
      <c r="H20" s="7">
        <f>Calc!E13</f>
        <v>-2.7975094617167962E-2</v>
      </c>
      <c r="I20" s="7">
        <f>Calc!G13</f>
        <v>1.2816783916780317E-3</v>
      </c>
      <c r="J20" s="7" cm="1">
        <f t="array" ref="J20">SUMPRODUCT($B$4:$E$4-$B$5:$E$5,F20:I20-Calc!J13)</f>
        <v>7.5790576735946689E-4</v>
      </c>
      <c r="K20" s="7" cm="1">
        <f t="array" ref="K20">SUMPRODUCT($B$5:$E$5,B20:E20-F20:I20)</f>
        <v>-8.4125359950502627E-4</v>
      </c>
      <c r="L20" s="7" cm="1">
        <f t="array" ref="L20">SUMPRODUCT($B$4:$E$4-$B$5:$E$5,B20:E20-F20:I20)</f>
        <v>-2.1421430855989661E-4</v>
      </c>
      <c r="M20" s="7">
        <f t="shared" si="0"/>
        <v>-2.9756214070545599E-4</v>
      </c>
      <c r="N20" s="7">
        <f>Calc!K13</f>
        <v>-2.9756214070545545E-4</v>
      </c>
      <c r="O20" s="7" t="str">
        <f t="shared" si="1"/>
        <v>PASS</v>
      </c>
      <c r="P20" s="7"/>
    </row>
    <row r="21" spans="1:16" x14ac:dyDescent="0.2">
      <c r="A21" s="11">
        <f>Calc!A14</f>
        <v>44805</v>
      </c>
      <c r="B21" s="7">
        <f>(Calc!B14*Weights!$B$3+Calc!C14*Weights!$C$3+Calc!H14*Weights!$H$3)/$B$4</f>
        <v>-9.4837229415862256E-2</v>
      </c>
      <c r="C21" s="7">
        <f>Calc!D14</f>
        <v>-0.12871322773643912</v>
      </c>
      <c r="D21" s="7">
        <f>(Calc!E14*Weights!$E$3+Calc!F14*Weights!$F$3)/$D$4</f>
        <v>-3.7530296515125856E-2</v>
      </c>
      <c r="E21" s="7">
        <f>Calc!G14</f>
        <v>2.8205762482702568E-4</v>
      </c>
      <c r="F21" s="7">
        <f>Calc!H14</f>
        <v>-9.52895760342366E-2</v>
      </c>
      <c r="G21" s="7">
        <f>Calc!D14</f>
        <v>-0.12871322773643912</v>
      </c>
      <c r="H21" s="7">
        <f>Calc!E14</f>
        <v>-4.1829987611130437E-2</v>
      </c>
      <c r="I21" s="7">
        <f>Calc!G14</f>
        <v>2.8205762482702568E-4</v>
      </c>
      <c r="J21" s="7" cm="1">
        <f t="array" ref="J21">SUMPRODUCT($B$4:$E$4-$B$5:$E$5,F21:I21-Calc!J14)</f>
        <v>4.1091959338882345E-3</v>
      </c>
      <c r="K21" s="7" cm="1">
        <f t="array" ref="K21">SUMPRODUCT($B$5:$E$5,B21:E21-F21:I21)</f>
        <v>1.9912844094264388E-3</v>
      </c>
      <c r="L21" s="7" cm="1">
        <f t="array" ref="L21">SUMPRODUCT($B$4:$E$4-$B$5:$E$5,B21:E21-F21:I21)</f>
        <v>1.2451523112535996E-4</v>
      </c>
      <c r="M21" s="7">
        <f t="shared" si="0"/>
        <v>6.2249955744400334E-3</v>
      </c>
      <c r="N21" s="7">
        <f>Calc!K14</f>
        <v>6.2249955744400343E-3</v>
      </c>
      <c r="O21" s="7" t="str">
        <f t="shared" si="1"/>
        <v>PASS</v>
      </c>
      <c r="P21" s="7"/>
    </row>
    <row r="22" spans="1:16" x14ac:dyDescent="0.2">
      <c r="A22" s="11">
        <f>Calc!A15</f>
        <v>44835</v>
      </c>
      <c r="B22" s="7">
        <f>(Calc!B15*Weights!$B$3+Calc!C15*Weights!$C$3+Calc!H15*Weights!$H$3)/$B$4</f>
        <v>6.3486067328776125E-2</v>
      </c>
      <c r="C22" s="7">
        <f>Calc!D15</f>
        <v>3.505059769793939E-2</v>
      </c>
      <c r="D22" s="7">
        <f>(Calc!E15*Weights!$E$3+Calc!F15*Weights!$F$3)/$D$4</f>
        <v>-5.9004663960759247E-3</v>
      </c>
      <c r="E22" s="7">
        <f>Calc!G15</f>
        <v>1.5576915613824127E-3</v>
      </c>
      <c r="F22" s="7">
        <f>Calc!H15</f>
        <v>6.3767729441257304E-2</v>
      </c>
      <c r="G22" s="7">
        <f>Calc!D15</f>
        <v>3.505059769793939E-2</v>
      </c>
      <c r="H22" s="7">
        <f>Calc!E15</f>
        <v>-1.1577458594664747E-2</v>
      </c>
      <c r="I22" s="7">
        <f>Calc!G15</f>
        <v>1.5576915613824127E-3</v>
      </c>
      <c r="J22" s="7" cm="1">
        <f t="array" ref="J22">SUMPRODUCT($B$4:$E$4-$B$5:$E$5,F22:I22-Calc!J15)</f>
        <v>-9.7494744701216336E-3</v>
      </c>
      <c r="K22" s="7" cm="1">
        <f t="array" ref="K22">SUMPRODUCT($B$5:$E$5,B22:E22-F22:I22)</f>
        <v>2.1017996119468215E-3</v>
      </c>
      <c r="L22" s="7" cm="1">
        <f t="array" ref="L22">SUMPRODUCT($B$4:$E$4-$B$5:$E$5,B22:E22-F22:I22)</f>
        <v>3.4018203242567658E-4</v>
      </c>
      <c r="M22" s="7">
        <f t="shared" si="0"/>
        <v>-7.3074928257491362E-3</v>
      </c>
      <c r="N22" s="7">
        <f>Calc!K15</f>
        <v>-7.307492825749138E-3</v>
      </c>
      <c r="O22" s="7" t="str">
        <f t="shared" si="1"/>
        <v>PASS</v>
      </c>
      <c r="P22" s="7"/>
    </row>
    <row r="23" spans="1:16" x14ac:dyDescent="0.2">
      <c r="A23" s="11">
        <f>Calc!A16</f>
        <v>44866</v>
      </c>
      <c r="B23" s="7">
        <f>(Calc!B16*Weights!$B$3+Calc!C16*Weights!$C$3+Calc!H16*Weights!$H$3)/$B$4</f>
        <v>8.1193607560155381E-2</v>
      </c>
      <c r="C23" s="7">
        <f>Calc!D16</f>
        <v>6.1460652678176242E-2</v>
      </c>
      <c r="D23" s="7">
        <f>(Calc!E16*Weights!$E$3+Calc!F16*Weights!$F$3)/$D$4</f>
        <v>3.254176922848543E-2</v>
      </c>
      <c r="E23" s="7">
        <f>Calc!G16</f>
        <v>3.3900987944088801E-3</v>
      </c>
      <c r="F23" s="7">
        <f>Calc!H16</f>
        <v>8.2826949791527937E-2</v>
      </c>
      <c r="G23" s="7">
        <f>Calc!D16</f>
        <v>6.1460652678176242E-2</v>
      </c>
      <c r="H23" s="7">
        <f>Calc!E16</f>
        <v>3.6659010523601765E-2</v>
      </c>
      <c r="I23" s="7">
        <f>Calc!G16</f>
        <v>3.3900987944088801E-3</v>
      </c>
      <c r="J23" s="7" cm="1">
        <f t="array" ref="J23">SUMPRODUCT($B$4:$E$4-$B$5:$E$5,F23:I23-Calc!J16)</f>
        <v>-8.4168692245874289E-3</v>
      </c>
      <c r="K23" s="7" cm="1">
        <f t="array" ref="K23">SUMPRODUCT($B$5:$E$5,B23:E23-F23:I23)</f>
        <v>-2.6269018568700676E-3</v>
      </c>
      <c r="L23" s="7" cm="1">
        <f t="array" ref="L23">SUMPRODUCT($B$4:$E$4-$B$5:$E$5,B23:E23-F23:I23)</f>
        <v>1.2080638151869464E-4</v>
      </c>
      <c r="M23" s="7">
        <f t="shared" si="0"/>
        <v>-1.0922964699938802E-2</v>
      </c>
      <c r="N23" s="7">
        <f>Calc!K16</f>
        <v>-1.0922964699938809E-2</v>
      </c>
      <c r="O23" s="7" t="str">
        <f t="shared" si="1"/>
        <v>PASS</v>
      </c>
      <c r="P23" s="7"/>
    </row>
    <row r="24" spans="1:16" x14ac:dyDescent="0.2">
      <c r="A24" s="11">
        <f>Calc!A17</f>
        <v>44896</v>
      </c>
      <c r="B24" s="7">
        <f>(Calc!B17*Weights!$B$3+Calc!C17*Weights!$C$3+Calc!H17*Weights!$H$3)/$B$4</f>
        <v>-4.463827208310437E-2</v>
      </c>
      <c r="C24" s="7">
        <f>Calc!D17</f>
        <v>-5.034355729175588E-2</v>
      </c>
      <c r="D24" s="7">
        <f>(Calc!E17*Weights!$E$3+Calc!F17*Weights!$F$3)/$D$4</f>
        <v>-1.4537096323354686E-2</v>
      </c>
      <c r="E24" s="7">
        <f>Calc!G17</f>
        <v>3.8581509796846714E-3</v>
      </c>
      <c r="F24" s="7">
        <f>Calc!H17</f>
        <v>-4.4373975577801983E-2</v>
      </c>
      <c r="G24" s="7">
        <f>Calc!D17</f>
        <v>-5.034355729175588E-2</v>
      </c>
      <c r="H24" s="7">
        <f>Calc!E17</f>
        <v>-8.060321313588914E-3</v>
      </c>
      <c r="I24" s="7">
        <f>Calc!G17</f>
        <v>3.8581509796846714E-3</v>
      </c>
      <c r="J24" s="7" cm="1">
        <f t="array" ref="J24">SUMPRODUCT($B$4:$E$4-$B$5:$E$5,F24:I24-Calc!J17)</f>
        <v>3.630330869689594E-3</v>
      </c>
      <c r="K24" s="7" cm="1">
        <f t="array" ref="K24">SUMPRODUCT($B$5:$E$5,B24:E24-F24:I24)</f>
        <v>-2.7492879070877413E-3</v>
      </c>
      <c r="L24" s="7" cm="1">
        <f t="array" ref="L24">SUMPRODUCT($B$4:$E$4-$B$5:$E$5,B24:E24-F24:I24)</f>
        <v>-2.7097944942781069E-4</v>
      </c>
      <c r="M24" s="7">
        <f t="shared" si="0"/>
        <v>6.1006351317404199E-4</v>
      </c>
      <c r="N24" s="7">
        <f>Calc!K17</f>
        <v>6.1006351317403895E-4</v>
      </c>
      <c r="O24" s="7" t="str">
        <f t="shared" si="1"/>
        <v>PASS</v>
      </c>
      <c r="P24" s="7"/>
    </row>
    <row r="25" spans="1:16" x14ac:dyDescent="0.2">
      <c r="A25" s="11">
        <f>Calc!A18</f>
        <v>44927</v>
      </c>
      <c r="B25" s="7">
        <f>(Calc!B18*Weights!$B$3+Calc!C18*Weights!$C$3+Calc!H18*Weights!$H$3)/$B$4</f>
        <v>7.5836584742188143E-2</v>
      </c>
      <c r="C25" s="7">
        <f>Calc!D18</f>
        <v>0.10402521271754717</v>
      </c>
      <c r="D25" s="7">
        <f>(Calc!E18*Weights!$E$3+Calc!F18*Weights!$F$3)/$D$4</f>
        <v>2.9957257630155519E-2</v>
      </c>
      <c r="E25" s="7">
        <f>Calc!G18</f>
        <v>3.2750542179684761E-3</v>
      </c>
      <c r="F25" s="7">
        <f>Calc!H18</f>
        <v>7.6459262526419103E-2</v>
      </c>
      <c r="G25" s="7">
        <f>Calc!D18</f>
        <v>0.10402521271754717</v>
      </c>
      <c r="H25" s="7">
        <f>Calc!E18</f>
        <v>3.3129159350998805E-2</v>
      </c>
      <c r="I25" s="7">
        <f>Calc!G18</f>
        <v>3.2750542179684761E-3</v>
      </c>
      <c r="J25" s="7" cm="1">
        <f t="array" ref="J25">SUMPRODUCT($B$4:$E$4-$B$5:$E$5,F25:I25-Calc!J18)</f>
        <v>-3.0691205550807373E-3</v>
      </c>
      <c r="K25" s="7" cm="1">
        <f t="array" ref="K25">SUMPRODUCT($B$5:$E$5,B25:E25-F25:I25)</f>
        <v>-1.6423673588758902E-3</v>
      </c>
      <c r="L25" s="7" cm="1">
        <f t="array" ref="L25">SUMPRODUCT($B$4:$E$4-$B$5:$E$5,B25:E25-F25:I25)</f>
        <v>-3.4059529195972112E-5</v>
      </c>
      <c r="M25" s="7">
        <f t="shared" si="0"/>
        <v>-4.7455474431525998E-3</v>
      </c>
      <c r="N25" s="7">
        <f>Calc!K18</f>
        <v>-4.7455474431525937E-3</v>
      </c>
      <c r="O25" s="7" t="str">
        <f t="shared" si="1"/>
        <v>PASS</v>
      </c>
      <c r="P25" s="7"/>
    </row>
    <row r="26" spans="1:16" x14ac:dyDescent="0.2">
      <c r="A26" s="11">
        <f>Calc!A19</f>
        <v>44958</v>
      </c>
      <c r="B26" s="7">
        <f>(Calc!B19*Weights!$B$3+Calc!C19*Weights!$C$3+Calc!H19*Weights!$H$3)/$B$4</f>
        <v>-3.102262868395304E-2</v>
      </c>
      <c r="C26" s="7">
        <f>Calc!D19</f>
        <v>-5.8642468870473197E-2</v>
      </c>
      <c r="D26" s="7">
        <f>(Calc!E19*Weights!$E$3+Calc!F19*Weights!$F$3)/$D$4</f>
        <v>-2.2770999046469214E-2</v>
      </c>
      <c r="E26" s="7">
        <f>Calc!G19</f>
        <v>2.9114458867791626E-3</v>
      </c>
      <c r="F26" s="7">
        <f>Calc!H19</f>
        <v>-3.1795903410767101E-2</v>
      </c>
      <c r="G26" s="7">
        <f>Calc!D19</f>
        <v>-5.8642468870473197E-2</v>
      </c>
      <c r="H26" s="7">
        <f>Calc!E19</f>
        <v>-2.6659723060442397E-2</v>
      </c>
      <c r="I26" s="7">
        <f>Calc!G19</f>
        <v>2.9114458867791626E-3</v>
      </c>
      <c r="J26" s="7" cm="1">
        <f t="array" ref="J26">SUMPRODUCT($B$4:$E$4-$B$5:$E$5,F26:I26-Calc!J19)</f>
        <v>-6.9248006357706168E-4</v>
      </c>
      <c r="K26" s="7" cm="1">
        <f t="array" ref="K26">SUMPRODUCT($B$5:$E$5,B26:E26-F26:I26)</f>
        <v>2.01945444167771E-3</v>
      </c>
      <c r="L26" s="7" cm="1">
        <f t="array" ref="L26">SUMPRODUCT($B$4:$E$4-$B$5:$E$5,B26:E26-F26:I26)</f>
        <v>3.9781255335846695E-5</v>
      </c>
      <c r="M26" s="7">
        <f t="shared" si="0"/>
        <v>1.366755633436495E-3</v>
      </c>
      <c r="N26" s="7">
        <f>Calc!K19</f>
        <v>1.366755633436495E-3</v>
      </c>
      <c r="O26" s="7" t="str">
        <f t="shared" si="1"/>
        <v>PASS</v>
      </c>
      <c r="P26" s="7"/>
    </row>
    <row r="27" spans="1:16" x14ac:dyDescent="0.2">
      <c r="A27" s="11">
        <f>Calc!A20</f>
        <v>44986</v>
      </c>
      <c r="B27" s="7">
        <f>(Calc!B20*Weights!$B$3+Calc!C20*Weights!$C$3+Calc!H20*Weights!$H$3)/$B$4</f>
        <v>2.7567748528544652E-2</v>
      </c>
      <c r="C27" s="7">
        <f>Calc!D20</f>
        <v>-2.1554731820559336E-2</v>
      </c>
      <c r="D27" s="7">
        <f>(Calc!E20*Weights!$E$3+Calc!F20*Weights!$F$3)/$D$4</f>
        <v>2.6356329583044829E-2</v>
      </c>
      <c r="E27" s="7">
        <f>Calc!G20</f>
        <v>5.0939865449384225E-3</v>
      </c>
      <c r="F27" s="7">
        <f>Calc!H20</f>
        <v>2.8501933749440767E-2</v>
      </c>
      <c r="G27" s="7">
        <f>Calc!D20</f>
        <v>-2.1554731820559336E-2</v>
      </c>
      <c r="H27" s="7">
        <f>Calc!E20</f>
        <v>2.6756924141141614E-2</v>
      </c>
      <c r="I27" s="7">
        <f>Calc!G20</f>
        <v>5.0939865449384225E-3</v>
      </c>
      <c r="J27" s="7" cm="1">
        <f t="array" ref="J27">SUMPRODUCT($B$4:$E$4-$B$5:$E$5,F27:I27-Calc!J20)</f>
        <v>-6.2633143976400856E-3</v>
      </c>
      <c r="K27" s="7" cm="1">
        <f t="array" ref="K27">SUMPRODUCT($B$5:$E$5,B27:E27-F27:I27)</f>
        <v>-7.2074895577638252E-4</v>
      </c>
      <c r="L27" s="7" cm="1">
        <f t="array" ref="L27">SUMPRODUCT($B$4:$E$4-$B$5:$E$5,B27:E27-F27:I27)</f>
        <v>1.6680731627438365E-4</v>
      </c>
      <c r="M27" s="7">
        <f t="shared" si="0"/>
        <v>-6.8172560371420844E-3</v>
      </c>
      <c r="N27" s="7">
        <f>Calc!K20</f>
        <v>-6.8172560371420853E-3</v>
      </c>
      <c r="O27" s="7" t="str">
        <f t="shared" si="1"/>
        <v>PASS</v>
      </c>
      <c r="P27" s="7"/>
    </row>
    <row r="28" spans="1:16" x14ac:dyDescent="0.2">
      <c r="A28" s="11">
        <f>Calc!A21</f>
        <v>45017</v>
      </c>
      <c r="B28" s="7">
        <f>(Calc!B21*Weights!$B$3+Calc!C21*Weights!$C$3+Calc!H21*Weights!$H$3)/$B$4</f>
        <v>1.3800838754243205E-2</v>
      </c>
      <c r="C28" s="7">
        <f>Calc!D21</f>
        <v>3.1311449127893187E-3</v>
      </c>
      <c r="D28" s="7">
        <f>(Calc!E21*Weights!$E$3+Calc!F21*Weights!$F$3)/$D$4</f>
        <v>4.6155280297473702E-3</v>
      </c>
      <c r="E28" s="7">
        <f>Calc!G21</f>
        <v>3.0965986297659676E-3</v>
      </c>
      <c r="F28" s="7">
        <f>Calc!H21</f>
        <v>1.422553025027451E-2</v>
      </c>
      <c r="G28" s="7">
        <f>Calc!D21</f>
        <v>3.1311449127893187E-3</v>
      </c>
      <c r="H28" s="7">
        <f>Calc!E21</f>
        <v>5.8793230811111652E-3</v>
      </c>
      <c r="I28" s="7">
        <f>Calc!G21</f>
        <v>3.0965986297659676E-3</v>
      </c>
      <c r="J28" s="7" cm="1">
        <f t="array" ref="J28">SUMPRODUCT($B$4:$E$4-$B$5:$E$5,F28:I28-Calc!J21)</f>
        <v>-2.0831954732321131E-3</v>
      </c>
      <c r="K28" s="7" cm="1">
        <f t="array" ref="K28">SUMPRODUCT($B$5:$E$5,B28:E28-F28:I28)</f>
        <v>-7.6033291816430051E-4</v>
      </c>
      <c r="L28" s="7" cm="1">
        <f t="array" ref="L28">SUMPRODUCT($B$4:$E$4-$B$5:$E$5,B28:E28-F28:I28)</f>
        <v>2.1748546638071148E-5</v>
      </c>
      <c r="M28" s="7">
        <f t="shared" si="0"/>
        <v>-2.8217798447583427E-3</v>
      </c>
      <c r="N28" s="7">
        <f>Calc!K21</f>
        <v>-2.8217798447583431E-3</v>
      </c>
      <c r="O28" s="7" t="str">
        <f>IF(ABS(M28-N28)&lt;0.000001,"PASS","FAIL")</f>
        <v>PASS</v>
      </c>
      <c r="P28" s="7"/>
    </row>
    <row r="29" spans="1:16" x14ac:dyDescent="0.2">
      <c r="A29" s="11">
        <f>Calc!A22</f>
        <v>45047</v>
      </c>
      <c r="B29" s="7">
        <f>(Calc!B22*Weights!$B$3+Calc!C22*Weights!$C$3+Calc!H22*Weights!$H$3)/$B$4</f>
        <v>-1.0467466767628662E-2</v>
      </c>
      <c r="C29" s="7">
        <f>Calc!D22</f>
        <v>-3.9616071417298504E-2</v>
      </c>
      <c r="D29" s="7">
        <f>(Calc!E22*Weights!$E$3+Calc!F22*Weights!$F$3)/$D$4</f>
        <v>-7.2809153322813316E-3</v>
      </c>
      <c r="E29" s="7">
        <f>Calc!G22</f>
        <v>3.2531627186471734E-3</v>
      </c>
      <c r="F29" s="7">
        <f>Calc!H22</f>
        <v>-1.2098819204844125E-2</v>
      </c>
      <c r="G29" s="7">
        <f>Calc!D22</f>
        <v>-3.9616071417298504E-2</v>
      </c>
      <c r="H29" s="7">
        <f>Calc!E22</f>
        <v>-1.1637620300827711E-2</v>
      </c>
      <c r="I29" s="7">
        <f>Calc!G22</f>
        <v>3.2531627186471734E-3</v>
      </c>
      <c r="J29" s="7" cm="1">
        <f t="array" ref="J29">SUMPRODUCT($B$4:$E$4-$B$5:$E$5,F29:I29-Calc!J22)</f>
        <v>-1.9610661798700525E-3</v>
      </c>
      <c r="K29" s="7" cm="1">
        <f t="array" ref="K29">SUMPRODUCT($B$5:$E$5,B29:E29-F29:I29)</f>
        <v>2.7214934497478294E-3</v>
      </c>
      <c r="L29" s="7" cm="1">
        <f t="array" ref="L29">SUMPRODUCT($B$4:$E$4-$B$5:$E$5,B29:E29-F29:I29)</f>
        <v>-1.0843523901577374E-4</v>
      </c>
      <c r="M29" s="7">
        <f t="shared" si="0"/>
        <v>6.5199203086200317E-4</v>
      </c>
      <c r="N29" s="7">
        <f>Calc!K22</f>
        <v>6.5199203086200447E-4</v>
      </c>
      <c r="O29" s="7" t="str">
        <f t="shared" si="1"/>
        <v>PASS</v>
      </c>
      <c r="P29" s="7"/>
    </row>
    <row r="30" spans="1:16" x14ac:dyDescent="0.2">
      <c r="A30" s="11">
        <f>Calc!A23</f>
        <v>45078</v>
      </c>
      <c r="B30" s="7">
        <f>(Calc!B23*Weights!$B$3+Calc!C23*Weights!$C$3+Calc!H23*Weights!$H$3)/$B$4</f>
        <v>5.8690399275107247E-2</v>
      </c>
      <c r="C30" s="7">
        <f>Calc!D23</f>
        <v>5.6294592452672321E-2</v>
      </c>
      <c r="D30" s="7">
        <f>(Calc!E23*Weights!$E$3+Calc!F23*Weights!$F$3)/$D$4</f>
        <v>-1.4711547895177961E-3</v>
      </c>
      <c r="E30" s="7">
        <f>Calc!G23</f>
        <v>4.7482368120683738E-3</v>
      </c>
      <c r="F30" s="7">
        <f>Calc!H23</f>
        <v>5.8079767256301373E-2</v>
      </c>
      <c r="G30" s="7">
        <f>Calc!D23</f>
        <v>5.6294592452672321E-2</v>
      </c>
      <c r="H30" s="7">
        <f>Calc!E23</f>
        <v>-2.2371691108602487E-3</v>
      </c>
      <c r="I30" s="7">
        <f>Calc!G23</f>
        <v>4.7482368120683738E-3</v>
      </c>
      <c r="J30" s="7" cm="1">
        <f t="array" ref="J30">SUMPRODUCT($B$4:$E$4-$B$5:$E$5,F30:I30-Calc!J23)</f>
        <v>-5.8609408209326329E-3</v>
      </c>
      <c r="K30" s="7" cm="1">
        <f t="array" ref="K30">SUMPRODUCT($B$5:$E$5,B30:E30-F30:I30)</f>
        <v>6.7278493982050511E-4</v>
      </c>
      <c r="L30" s="7" cm="1">
        <f t="array" ref="L30">SUMPRODUCT($B$4:$E$4-$B$5:$E$5,B30:E30-F30:I30)</f>
        <v>-8.3825687694052086E-5</v>
      </c>
      <c r="M30" s="7">
        <f t="shared" si="0"/>
        <v>-5.2719815688061795E-3</v>
      </c>
      <c r="N30" s="7">
        <f>Calc!K23</f>
        <v>-5.2719815688061812E-3</v>
      </c>
      <c r="O30" s="7" t="str">
        <f t="shared" si="1"/>
        <v>PASS</v>
      </c>
      <c r="P30" s="7"/>
    </row>
    <row r="31" spans="1:16" x14ac:dyDescent="0.2">
      <c r="A31" s="11">
        <f>Calc!A24</f>
        <v>45108</v>
      </c>
      <c r="B31" s="7">
        <f>(Calc!B24*Weights!$B$3+Calc!C24*Weights!$C$3+Calc!H24*Weights!$H$3)/$B$4</f>
        <v>3.7474581704977361E-2</v>
      </c>
      <c r="C31" s="7">
        <f>Calc!D24</f>
        <v>2.0344748905805954E-2</v>
      </c>
      <c r="D31" s="7">
        <f>(Calc!E24*Weights!$E$3+Calc!F24*Weights!$F$3)/$D$4</f>
        <v>-1.2140757005027296E-3</v>
      </c>
      <c r="E31" s="7">
        <f>Calc!G24</f>
        <v>3.8363138602586222E-3</v>
      </c>
      <c r="F31" s="7">
        <f>Calc!H24</f>
        <v>3.7224108531094924E-2</v>
      </c>
      <c r="G31" s="7">
        <f>Calc!D24</f>
        <v>2.0344748905805954E-2</v>
      </c>
      <c r="H31" s="7">
        <f>Calc!E24</f>
        <v>-1.1860740283794469E-3</v>
      </c>
      <c r="I31" s="7">
        <f>Calc!G24</f>
        <v>3.8363138602586222E-3</v>
      </c>
      <c r="J31" s="7" cm="1">
        <f t="array" ref="J31">SUMPRODUCT($B$4:$E$4-$B$5:$E$5,F31:I31-Calc!J24)</f>
        <v>-5.2778348240444285E-3</v>
      </c>
      <c r="K31" s="7" cm="1">
        <f t="array" ref="K31">SUMPRODUCT($B$5:$E$5,B31:E31-F31:I31)</f>
        <v>1.3908323548014927E-4</v>
      </c>
      <c r="L31" s="7" cm="1">
        <f t="array" ref="L31">SUMPRODUCT($B$4:$E$4-$B$5:$E$5,B31:E31-F31:I31)</f>
        <v>-5.1494718382651582E-5</v>
      </c>
      <c r="M31" s="7">
        <f t="shared" si="0"/>
        <v>-5.1902463069469313E-3</v>
      </c>
      <c r="N31" s="7">
        <f>Calc!K24</f>
        <v>-5.1902463069469287E-3</v>
      </c>
      <c r="O31" s="7" t="str">
        <f t="shared" si="1"/>
        <v>PASS</v>
      </c>
      <c r="P31" s="7"/>
    </row>
    <row r="32" spans="1:16" x14ac:dyDescent="0.2">
      <c r="A32" s="11">
        <f>Calc!A25</f>
        <v>45139</v>
      </c>
      <c r="B32" s="7">
        <f>(Calc!B25*Weights!$B$3+Calc!C25*Weights!$C$3+Calc!H25*Weights!$H$3)/$B$4</f>
        <v>-2.8548274898382239E-2</v>
      </c>
      <c r="C32" s="7">
        <f>Calc!D25</f>
        <v>-3.3779055820515658E-2</v>
      </c>
      <c r="D32" s="7">
        <f>(Calc!E25*Weights!$E$3+Calc!F25*Weights!$F$3)/$D$4</f>
        <v>-3.7038209823154755E-3</v>
      </c>
      <c r="E32" s="7">
        <f>Calc!G25</f>
        <v>4.7920161343435463E-3</v>
      </c>
      <c r="F32" s="7">
        <f>Calc!H25</f>
        <v>-2.8432212542821578E-2</v>
      </c>
      <c r="G32" s="7">
        <f>Calc!D25</f>
        <v>-3.3779055820515658E-2</v>
      </c>
      <c r="H32" s="7">
        <f>Calc!E25</f>
        <v>-6.6038310863031358E-3</v>
      </c>
      <c r="I32" s="7">
        <f>Calc!G25</f>
        <v>4.7920161343435463E-3</v>
      </c>
      <c r="J32" s="7" cm="1">
        <f t="array" ref="J32">SUMPRODUCT($B$4:$E$4-$B$5:$E$5,F32:I32-Calc!J25)</f>
        <v>2.2179461789147694E-3</v>
      </c>
      <c r="K32" s="7" cm="1">
        <f t="array" ref="K32">SUMPRODUCT($B$5:$E$5,B32:E32-F32:I32)</f>
        <v>1.0903666282586675E-3</v>
      </c>
      <c r="L32" s="7" cm="1">
        <f t="array" ref="L32">SUMPRODUCT($B$4:$E$4-$B$5:$E$5,B32:E32-F32:I32)</f>
        <v>1.68212976311515E-4</v>
      </c>
      <c r="M32" s="7">
        <f t="shared" si="0"/>
        <v>3.4765257834849521E-3</v>
      </c>
      <c r="N32" s="7">
        <f>Calc!K25</f>
        <v>3.4765257834849551E-3</v>
      </c>
      <c r="O32" s="7" t="str">
        <f t="shared" si="1"/>
        <v>PASS</v>
      </c>
      <c r="P32" s="7"/>
    </row>
    <row r="33" spans="1:16" x14ac:dyDescent="0.2">
      <c r="A33" s="11">
        <f>Calc!A26</f>
        <v>45170</v>
      </c>
      <c r="B33" s="7">
        <f>(Calc!B26*Weights!$B$3+Calc!C26*Weights!$C$3+Calc!H26*Weights!$H$3)/$B$4</f>
        <v>-4.2763948539489255E-2</v>
      </c>
      <c r="C33" s="7">
        <f>Calc!D26</f>
        <v>-7.2637695314246464E-2</v>
      </c>
      <c r="D33" s="7">
        <f>(Calc!E26*Weights!$E$3+Calc!F26*Weights!$F$3)/$D$4</f>
        <v>-2.2355632341742353E-2</v>
      </c>
      <c r="E33" s="7">
        <f>Calc!G26</f>
        <v>3.9166645637915831E-3</v>
      </c>
      <c r="F33" s="7">
        <f>Calc!H26</f>
        <v>-4.2547891319619002E-2</v>
      </c>
      <c r="G33" s="7">
        <f>Calc!D26</f>
        <v>-7.2637695314246464E-2</v>
      </c>
      <c r="H33" s="7">
        <f>Calc!E26</f>
        <v>-2.479276844531908E-2</v>
      </c>
      <c r="I33" s="7">
        <f>Calc!G26</f>
        <v>3.9166645637915831E-3</v>
      </c>
      <c r="J33" s="7" cm="1">
        <f t="array" ref="J33">SUMPRODUCT($B$4:$E$4-$B$5:$E$5,F33:I33-Calc!J26)</f>
        <v>2.020035384227778E-4</v>
      </c>
      <c r="K33" s="7" cm="1">
        <f t="array" ref="K33">SUMPRODUCT($B$5:$E$5,B33:E33-F33:I33)</f>
        <v>8.4522010950853911E-4</v>
      </c>
      <c r="L33" s="7" cm="1">
        <f t="array" ref="L33">SUMPRODUCT($B$4:$E$4-$B$5:$E$5,B33:E33-F33:I33)</f>
        <v>1.6506824915288668E-4</v>
      </c>
      <c r="M33" s="7">
        <f t="shared" si="0"/>
        <v>1.2122918970842037E-3</v>
      </c>
      <c r="N33" s="7">
        <f>Calc!K26</f>
        <v>1.2122918970842028E-3</v>
      </c>
      <c r="O33" s="7" t="str">
        <f t="shared" si="1"/>
        <v>PASS</v>
      </c>
      <c r="P33" s="7"/>
    </row>
    <row r="34" spans="1:16" x14ac:dyDescent="0.2">
      <c r="A34" s="11">
        <f>Calc!A27</f>
        <v>45200</v>
      </c>
      <c r="B34" s="7">
        <f>(Calc!B27*Weights!$B$3+Calc!C27*Weights!$C$3+Calc!H27*Weights!$H$3)/$B$4</f>
        <v>-2.9148688042432921E-2</v>
      </c>
      <c r="C34" s="7">
        <f>Calc!D27</f>
        <v>-3.6214709293916458E-2</v>
      </c>
      <c r="D34" s="7">
        <f>(Calc!E27*Weights!$E$3+Calc!F27*Weights!$F$3)/$D$4</f>
        <v>-1.0631516814832728E-2</v>
      </c>
      <c r="E34" s="7">
        <f>Calc!G27</f>
        <v>4.4997486789937202E-3</v>
      </c>
      <c r="F34" s="7">
        <f>Calc!H27</f>
        <v>-2.9190673246298537E-2</v>
      </c>
      <c r="G34" s="7">
        <f>Calc!D27</f>
        <v>-3.6214709293916458E-2</v>
      </c>
      <c r="H34" s="7">
        <f>Calc!E27</f>
        <v>-1.5203807827309679E-2</v>
      </c>
      <c r="I34" s="7">
        <f>Calc!G27</f>
        <v>4.4997486789937202E-3</v>
      </c>
      <c r="J34" s="7" cm="1">
        <f t="array" ref="J34">SUMPRODUCT($B$4:$E$4-$B$5:$E$5,F34:I34-Calc!J27)</f>
        <v>1.6814607624522629E-3</v>
      </c>
      <c r="K34" s="7" cm="1">
        <f t="array" ref="K34">SUMPRODUCT($B$5:$E$5,B34:E34-F34:I34)</f>
        <v>1.8541075273101504E-3</v>
      </c>
      <c r="L34" s="7" cm="1">
        <f t="array" ref="L34">SUMPRODUCT($B$4:$E$4-$B$5:$E$5,B34:E34-F34:I34)</f>
        <v>2.2021750985072391E-4</v>
      </c>
      <c r="M34" s="7">
        <f t="shared" si="0"/>
        <v>3.7557857996131372E-3</v>
      </c>
      <c r="N34" s="7">
        <f>Calc!K27</f>
        <v>3.7557857996131337E-3</v>
      </c>
      <c r="O34" s="7" t="str">
        <f t="shared" si="1"/>
        <v>PASS</v>
      </c>
      <c r="P34" s="7"/>
    </row>
    <row r="35" spans="1:16" x14ac:dyDescent="0.2">
      <c r="A35" s="11">
        <f>Calc!A28</f>
        <v>45231</v>
      </c>
      <c r="B35" s="7">
        <f>(Calc!B28*Weights!$B$3+Calc!C28*Weights!$C$3+Calc!H28*Weights!$H$3)/$B$4</f>
        <v>8.9733508553171165E-2</v>
      </c>
      <c r="C35" s="7">
        <f>Calc!D28</f>
        <v>0.12081764740224021</v>
      </c>
      <c r="D35" s="7">
        <f>(Calc!E28*Weights!$E$3+Calc!F28*Weights!$F$3)/$D$4</f>
        <v>4.1719499305225012E-2</v>
      </c>
      <c r="E35" s="7">
        <f>Calc!G28</f>
        <v>5.0709477861246022E-3</v>
      </c>
      <c r="F35" s="7">
        <f>Calc!H28</f>
        <v>9.0095114985865532E-2</v>
      </c>
      <c r="G35" s="7">
        <f>Calc!D28</f>
        <v>0.12081764740224021</v>
      </c>
      <c r="H35" s="7">
        <f>Calc!E28</f>
        <v>4.5413866840428474E-2</v>
      </c>
      <c r="I35" s="7">
        <f>Calc!G28</f>
        <v>5.0709477861246022E-3</v>
      </c>
      <c r="J35" s="7" cm="1">
        <f t="array" ref="J35">SUMPRODUCT($B$4:$E$4-$B$5:$E$5,F35:I35-Calc!J28)</f>
        <v>-3.4130175256214283E-3</v>
      </c>
      <c r="K35" s="7" cm="1">
        <f t="array" ref="K35">SUMPRODUCT($B$5:$E$5,B35:E35-F35:I35)</f>
        <v>-1.6947108736980051E-3</v>
      </c>
      <c r="L35" s="7" cm="1">
        <f t="array" ref="L35">SUMPRODUCT($B$4:$E$4-$B$5:$E$5,B35:E35-F35:I35)</f>
        <v>-1.1239709022129948E-4</v>
      </c>
      <c r="M35" s="7">
        <f t="shared" si="0"/>
        <v>-5.2201254895407325E-3</v>
      </c>
      <c r="N35" s="7">
        <f>Calc!K28</f>
        <v>-5.2201254895407334E-3</v>
      </c>
      <c r="O35" s="7" t="str">
        <f t="shared" si="1"/>
        <v>PASS</v>
      </c>
      <c r="P35" s="7"/>
    </row>
    <row r="36" spans="1:16" x14ac:dyDescent="0.2">
      <c r="A36" s="11">
        <f>Calc!A29</f>
        <v>45261</v>
      </c>
      <c r="B36" s="7">
        <f>(Calc!B29*Weights!$B$3+Calc!C29*Weights!$C$3+Calc!H29*Weights!$H$3)/$B$4</f>
        <v>5.2186114425747332E-2</v>
      </c>
      <c r="C36" s="7">
        <f>Calc!D29</f>
        <v>9.4453338682127796E-2</v>
      </c>
      <c r="D36" s="7">
        <f>(Calc!E29*Weights!$E$3+Calc!F29*Weights!$F$3)/$D$4</f>
        <v>3.4436597315286033E-2</v>
      </c>
      <c r="E36" s="7">
        <f>Calc!G29</f>
        <v>4.8183130658632223E-3</v>
      </c>
      <c r="F36" s="7">
        <f>Calc!H29</f>
        <v>5.157515317835637E-2</v>
      </c>
      <c r="G36" s="7">
        <f>Calc!D29</f>
        <v>9.4453338682127796E-2</v>
      </c>
      <c r="H36" s="7">
        <f>Calc!E29</f>
        <v>3.5553466748428519E-2</v>
      </c>
      <c r="I36" s="7">
        <f>Calc!G29</f>
        <v>4.8183130658632223E-3</v>
      </c>
      <c r="J36" s="7" cm="1">
        <f t="array" ref="J36">SUMPRODUCT($B$4:$E$4-$B$5:$E$5,F36:I36-Calc!J29)</f>
        <v>1.148892223256094E-3</v>
      </c>
      <c r="K36" s="7" cm="1">
        <f t="array" ref="K36">SUMPRODUCT($B$5:$E$5,B36:E36-F36:I36)</f>
        <v>-8.017102482241748E-5</v>
      </c>
      <c r="L36" s="7" cm="1">
        <f t="array" ref="L36">SUMPRODUCT($B$4:$E$4-$B$5:$E$5,B36:E36-F36:I36)</f>
        <v>-1.7803572113531666E-4</v>
      </c>
      <c r="M36" s="7">
        <f t="shared" si="0"/>
        <v>8.9068547729835991E-4</v>
      </c>
      <c r="N36" s="7">
        <f>Calc!K29</f>
        <v>8.9068547729836273E-4</v>
      </c>
      <c r="O36" s="7" t="str">
        <f t="shared" si="1"/>
        <v>PASS</v>
      </c>
      <c r="P36" s="7"/>
    </row>
    <row r="37" spans="1:16" x14ac:dyDescent="0.2">
      <c r="A37" s="11">
        <f>Calc!A30</f>
        <v>45292</v>
      </c>
      <c r="B37" s="7">
        <f>(Calc!B30*Weights!$B$3+Calc!C30*Weights!$C$3+Calc!H30*Weights!$H$3)/$B$4</f>
        <v>5.7666124283287166E-4</v>
      </c>
      <c r="C37" s="7">
        <f>Calc!D30</f>
        <v>-5.0588587383562755E-2</v>
      </c>
      <c r="D37" s="7">
        <f>(Calc!E30*Weights!$E$3+Calc!F30*Weights!$F$3)/$D$4</f>
        <v>-3.0458740062813869E-3</v>
      </c>
      <c r="E37" s="7">
        <f>Calc!G30</f>
        <v>3.9951497818850878E-3</v>
      </c>
      <c r="F37" s="7">
        <f>Calc!H30</f>
        <v>0</v>
      </c>
      <c r="G37" s="7">
        <f>Calc!D30</f>
        <v>-5.0588587383562755E-2</v>
      </c>
      <c r="H37" s="7">
        <f>Calc!E30</f>
        <v>-1.6318854604976396E-3</v>
      </c>
      <c r="I37" s="7">
        <f>Calc!G30</f>
        <v>3.9951497818850878E-3</v>
      </c>
      <c r="J37" s="7" cm="1">
        <f t="array" ref="J37">SUMPRODUCT($B$4:$E$4-$B$5:$E$5,F37:I37-Calc!J30)</f>
        <v>-4.9406955222869031E-3</v>
      </c>
      <c r="K37" s="7" cm="1">
        <f t="array" ref="K37">SUMPRODUCT($B$5:$E$5,B37:E37-F37:I37)</f>
        <v>-2.1959867261377598E-4</v>
      </c>
      <c r="L37" s="7" cm="1">
        <f t="array" ref="L37">SUMPRODUCT($B$4:$E$4-$B$5:$E$5,B37:E37-F37:I37)</f>
        <v>-1.8603167585576157E-4</v>
      </c>
      <c r="M37" s="7">
        <f t="shared" si="0"/>
        <v>-5.3463258707564408E-3</v>
      </c>
      <c r="N37" s="7">
        <f>Calc!K30</f>
        <v>-5.3463258707564416E-3</v>
      </c>
      <c r="O37" s="7" t="str">
        <f t="shared" si="1"/>
        <v>PASS</v>
      </c>
      <c r="P37" s="7"/>
    </row>
    <row r="38" spans="1:16" x14ac:dyDescent="0.2">
      <c r="A38" s="11">
        <f>Calc!A31</f>
        <v>45323</v>
      </c>
      <c r="B38" s="7">
        <f>(Calc!B31*Weights!$B$3+Calc!C31*Weights!$C$3+Calc!H31*Weights!$H$3)/$B$4</f>
        <v>4.404366957176567E-2</v>
      </c>
      <c r="C38" s="7">
        <f>Calc!D31</f>
        <v>1.9787880086414855E-2</v>
      </c>
      <c r="D38" s="7">
        <f>(Calc!E31*Weights!$E$3+Calc!F31*Weights!$F$3)/$D$4</f>
        <v>-1.0883190620813481E-2</v>
      </c>
      <c r="E38" s="7">
        <f>Calc!G31</f>
        <v>3.9329979443298857E-3</v>
      </c>
      <c r="F38" s="7">
        <f>Calc!H31</f>
        <v>4.4906583072685358E-2</v>
      </c>
      <c r="G38" s="7">
        <f>Calc!D31</f>
        <v>1.9787880086414855E-2</v>
      </c>
      <c r="H38" s="7">
        <f>Calc!E31</f>
        <v>-1.3630586896607788E-2</v>
      </c>
      <c r="I38" s="7">
        <f>Calc!G31</f>
        <v>3.9329979443298857E-3</v>
      </c>
      <c r="J38" s="7" cm="1">
        <f t="array" ref="J38">SUMPRODUCT($B$4:$E$4-$B$5:$E$5,F38:I38-Calc!J31)</f>
        <v>-7.4874080535094782E-3</v>
      </c>
      <c r="K38" s="7" cm="1">
        <f t="array" ref="K38">SUMPRODUCT($B$5:$E$5,B38:E38-F38:I38)</f>
        <v>5.812104097659102E-4</v>
      </c>
      <c r="L38" s="7" cm="1">
        <f t="array" ref="L38">SUMPRODUCT($B$4:$E$4-$B$5:$E$5,B38:E38-F38:I38)</f>
        <v>3.0995251397365265E-4</v>
      </c>
      <c r="M38" s="7">
        <f t="shared" si="0"/>
        <v>-6.5962451297699159E-3</v>
      </c>
      <c r="N38" s="7">
        <f>Calc!K31</f>
        <v>-6.5962451297699159E-3</v>
      </c>
      <c r="O38" s="7" t="str">
        <f t="shared" si="1"/>
        <v>PASS</v>
      </c>
      <c r="P38" s="7"/>
    </row>
    <row r="39" spans="1:16" x14ac:dyDescent="0.2">
      <c r="A39" s="11">
        <f>Calc!A32</f>
        <v>45352</v>
      </c>
      <c r="B39" s="7">
        <f>(Calc!B32*Weights!$B$3+Calc!C32*Weights!$C$3+Calc!H32*Weights!$H$3)/$B$4</f>
        <v>3.2502723959445257E-2</v>
      </c>
      <c r="C39" s="7">
        <f>Calc!D32</f>
        <v>1.9510553858945956E-2</v>
      </c>
      <c r="D39" s="7">
        <f>(Calc!E32*Weights!$E$3+Calc!F32*Weights!$F$3)/$D$4</f>
        <v>9.3995657970458914E-3</v>
      </c>
      <c r="E39" s="7">
        <f>Calc!G32</f>
        <v>4.1604005685214052E-3</v>
      </c>
      <c r="F39" s="7">
        <f>Calc!H32</f>
        <v>3.1891153472118461E-2</v>
      </c>
      <c r="G39" s="7">
        <f>Calc!D32</f>
        <v>1.9510553858945956E-2</v>
      </c>
      <c r="H39" s="7">
        <f>Calc!E32</f>
        <v>8.4976740571223175E-3</v>
      </c>
      <c r="I39" s="7">
        <f>Calc!G32</f>
        <v>4.1604005685214052E-3</v>
      </c>
      <c r="J39" s="7" cm="1">
        <f t="array" ref="J39">SUMPRODUCT($B$4:$E$4-$B$5:$E$5,F39:I39-Calc!J32)</f>
        <v>-3.7942715772469092E-3</v>
      </c>
      <c r="K39" s="7" cm="1">
        <f t="array" ref="K39">SUMPRODUCT($B$5:$E$5,B39:E39-F39:I39)</f>
        <v>7.2769898836550699E-4</v>
      </c>
      <c r="L39" s="7" cm="1">
        <f t="array" ref="L39">SUMPRODUCT($B$4:$E$4-$B$5:$E$5,B39:E39-F39:I39)</f>
        <v>-7.7219510469180496E-5</v>
      </c>
      <c r="M39" s="7">
        <f t="shared" si="0"/>
        <v>-3.1437920993505827E-3</v>
      </c>
      <c r="N39" s="7">
        <f>Calc!K32</f>
        <v>-3.1437920993505827E-3</v>
      </c>
      <c r="O39" s="7" t="str">
        <f t="shared" si="1"/>
        <v>PASS</v>
      </c>
      <c r="P39" s="7"/>
    </row>
    <row r="40" spans="1:16" x14ac:dyDescent="0.2">
      <c r="A40" s="11">
        <f>Calc!A33</f>
        <v>45383</v>
      </c>
      <c r="B40" s="7">
        <f>(Calc!B33*Weights!$B$3+Calc!C33*Weights!$C$3+Calc!H33*Weights!$H$3)/$B$4</f>
        <v>-3.5856322990025731E-2</v>
      </c>
      <c r="C40" s="7">
        <f>Calc!D33</f>
        <v>-7.9440538748241307E-2</v>
      </c>
      <c r="D40" s="7">
        <f>(Calc!E33*Weights!$E$3+Calc!F33*Weights!$F$3)/$D$4</f>
        <v>-2.0733169370799276E-2</v>
      </c>
      <c r="E40" s="7">
        <f>Calc!G33</f>
        <v>3.7436970898701016E-3</v>
      </c>
      <c r="F40" s="7">
        <f>Calc!H33</f>
        <v>-3.5837083372268541E-2</v>
      </c>
      <c r="G40" s="7">
        <f>Calc!D33</f>
        <v>-7.9440538748241307E-2</v>
      </c>
      <c r="H40" s="7">
        <f>Calc!E33</f>
        <v>-2.4083378432314895E-2</v>
      </c>
      <c r="I40" s="7">
        <f>Calc!G33</f>
        <v>3.7436970898701016E-3</v>
      </c>
      <c r="J40" s="7" cm="1">
        <f t="array" ref="J40">SUMPRODUCT($B$4:$E$4-$B$5:$E$5,F40:I40-Calc!J33)</f>
        <v>-1.7936212674926628E-3</v>
      </c>
      <c r="K40" s="7" cm="1">
        <f t="array" ref="K40">SUMPRODUCT($B$5:$E$5,B40:E40-F40:I40)</f>
        <v>1.3285398539519336E-3</v>
      </c>
      <c r="L40" s="7" cm="1">
        <f t="array" ref="L40">SUMPRODUCT($B$4:$E$4-$B$5:$E$5,B40:E40-F40:I40)</f>
        <v>1.7135837662721871E-4</v>
      </c>
      <c r="M40" s="7">
        <f t="shared" si="0"/>
        <v>-2.9372303691351052E-4</v>
      </c>
      <c r="N40" s="7">
        <f>Calc!K33</f>
        <v>-2.9372303691351312E-4</v>
      </c>
      <c r="O40" s="7" t="str">
        <f t="shared" si="1"/>
        <v>PASS</v>
      </c>
      <c r="P40" s="7"/>
    </row>
    <row r="41" spans="1:16" x14ac:dyDescent="0.2">
      <c r="A41" s="11">
        <f>Calc!A34</f>
        <v>45413</v>
      </c>
      <c r="B41" s="7">
        <f>(Calc!B34*Weights!$B$3+Calc!C34*Weights!$C$3+Calc!H34*Weights!$H$3)/$B$4</f>
        <v>4.4829479843468634E-2</v>
      </c>
      <c r="C41" s="7">
        <f>Calc!D34</f>
        <v>4.5597431644612607E-2</v>
      </c>
      <c r="D41" s="7">
        <f>(Calc!E34*Weights!$E$3+Calc!F34*Weights!$F$3)/$D$4</f>
        <v>1.2161950140106905E-2</v>
      </c>
      <c r="E41" s="7">
        <f>Calc!G34</f>
        <v>4.5814449141743374E-3</v>
      </c>
      <c r="F41" s="7">
        <f>Calc!H34</f>
        <v>4.5992213193028597E-2</v>
      </c>
      <c r="G41" s="7">
        <f>Calc!D34</f>
        <v>4.5597431644612607E-2</v>
      </c>
      <c r="H41" s="7">
        <f>Calc!E34</f>
        <v>1.6804569063680885E-2</v>
      </c>
      <c r="I41" s="7">
        <f>Calc!G34</f>
        <v>4.5814449141743374E-3</v>
      </c>
      <c r="J41" s="7" cm="1">
        <f t="array" ref="J41">SUMPRODUCT($B$4:$E$4-$B$5:$E$5,F41:I41-Calc!J34)</f>
        <v>-3.5693987752516958E-3</v>
      </c>
      <c r="K41" s="7" cm="1">
        <f t="array" ref="K41">SUMPRODUCT($B$5:$E$5,B41:E41-F41:I41)</f>
        <v>-2.5546875791655705E-3</v>
      </c>
      <c r="L41" s="7" cm="1">
        <f t="array" ref="L41">SUMPRODUCT($B$4:$E$4-$B$5:$E$5,B41:E41-F41:I41)</f>
        <v>4.1572373329391843E-7</v>
      </c>
      <c r="M41" s="7">
        <f t="shared" si="0"/>
        <v>-6.1236706306839724E-3</v>
      </c>
      <c r="N41" s="7">
        <f>Calc!K34</f>
        <v>-6.123670630683975E-3</v>
      </c>
      <c r="O41" s="7" t="str">
        <f t="shared" si="1"/>
        <v>PASS</v>
      </c>
      <c r="P41" s="7"/>
    </row>
    <row r="42" spans="1:16" x14ac:dyDescent="0.2">
      <c r="A42" s="11">
        <f>Calc!A35</f>
        <v>45444</v>
      </c>
      <c r="B42" s="7">
        <f>(Calc!B35*Weights!$B$3+Calc!C35*Weights!$C$3+Calc!H35*Weights!$H$3)/$B$4</f>
        <v>1.6263049860358522E-2</v>
      </c>
      <c r="C42" s="7">
        <f>Calc!D35</f>
        <v>1.8755810789875538E-2</v>
      </c>
      <c r="D42" s="7">
        <f>(Calc!E35*Weights!$E$3+Calc!F35*Weights!$F$3)/$D$4</f>
        <v>7.9804338565028221E-3</v>
      </c>
      <c r="E42" s="7">
        <f>Calc!G35</f>
        <v>4.1985164676849873E-3</v>
      </c>
      <c r="F42" s="7">
        <f>Calc!H35</f>
        <v>1.586017812578655E-2</v>
      </c>
      <c r="G42" s="7">
        <f>Calc!D35</f>
        <v>1.8755810789875538E-2</v>
      </c>
      <c r="H42" s="7">
        <f>Calc!E35</f>
        <v>8.8072205594600383E-3</v>
      </c>
      <c r="I42" s="7">
        <f>Calc!G35</f>
        <v>4.1985164676849873E-3</v>
      </c>
      <c r="J42" s="7" cm="1">
        <f t="array" ref="J42">SUMPRODUCT($B$4:$E$4-$B$5:$E$5,F42:I42-Calc!J35)</f>
        <v>-6.4616769481250463E-4</v>
      </c>
      <c r="K42" s="7" cm="1">
        <f t="array" ref="K42">SUMPRODUCT($B$5:$E$5,B42:E42-F42:I42)</f>
        <v>-8.8991640439703483E-5</v>
      </c>
      <c r="L42" s="7" cm="1">
        <f t="array" ref="L42">SUMPRODUCT($B$4:$E$4-$B$5:$E$5,B42:E42-F42:I42)</f>
        <v>-1.2191368206225509E-4</v>
      </c>
      <c r="M42" s="7">
        <f t="shared" si="0"/>
        <v>-8.570730173144632E-4</v>
      </c>
      <c r="N42" s="7">
        <f>Calc!K35</f>
        <v>-8.5707301731446223E-4</v>
      </c>
      <c r="O42" s="7" t="str">
        <f t="shared" si="1"/>
        <v>PASS</v>
      </c>
      <c r="P42" s="7"/>
    </row>
    <row r="43" spans="1:16" x14ac:dyDescent="0.2">
      <c r="A43" s="11">
        <f>Calc!A36</f>
        <v>45474</v>
      </c>
      <c r="B43" s="7">
        <f>(Calc!B36*Weights!$B$3+Calc!C36*Weights!$C$3+Calc!H36*Weights!$H$3)/$B$4</f>
        <v>2.1647809401953873E-2</v>
      </c>
      <c r="C43" s="7">
        <f>Calc!D36</f>
        <v>7.9393767865453935E-2</v>
      </c>
      <c r="D43" s="7">
        <f>(Calc!E36*Weights!$E$3+Calc!F36*Weights!$F$3)/$D$4</f>
        <v>2.2783117573592415E-2</v>
      </c>
      <c r="E43" s="7">
        <f>Calc!G36</f>
        <v>4.5985038915656862E-3</v>
      </c>
      <c r="F43" s="7">
        <f>Calc!H36</f>
        <v>1.9799325440940763E-2</v>
      </c>
      <c r="G43" s="7">
        <f>Calc!D36</f>
        <v>7.9393767865453935E-2</v>
      </c>
      <c r="H43" s="7">
        <f>Calc!E36</f>
        <v>2.3541934385830077E-2</v>
      </c>
      <c r="I43" s="7">
        <f>Calc!G36</f>
        <v>4.5985038915656862E-3</v>
      </c>
      <c r="J43" s="7" cm="1">
        <f t="array" ref="J43">SUMPRODUCT($B$4:$E$4-$B$5:$E$5,F43:I43-Calc!J36)</f>
        <v>5.3865336122270284E-3</v>
      </c>
      <c r="K43" s="7" cm="1">
        <f t="array" ref="K43">SUMPRODUCT($B$5:$E$5,B43:E43-F43:I43)</f>
        <v>8.0556365171280181E-4</v>
      </c>
      <c r="L43" s="7" cm="1">
        <f t="array" ref="L43">SUMPRODUCT($B$4:$E$4-$B$5:$E$5,B43:E43-F43:I43)</f>
        <v>-4.0763763281450509E-4</v>
      </c>
      <c r="M43" s="7">
        <f t="shared" si="0"/>
        <v>5.7844596311253252E-3</v>
      </c>
      <c r="N43" s="7">
        <f>Calc!K36</f>
        <v>5.7844596311253244E-3</v>
      </c>
      <c r="O43" s="7" t="str">
        <f t="shared" si="1"/>
        <v>PASS</v>
      </c>
      <c r="P43" s="7"/>
    </row>
    <row r="44" spans="1:16" x14ac:dyDescent="0.2">
      <c r="A44" s="11">
        <f>Calc!A37</f>
        <v>45505</v>
      </c>
      <c r="B44" s="7">
        <f>(Calc!B37*Weights!$B$3+Calc!C37*Weights!$C$3+Calc!H37*Weights!$H$3)/$B$4</f>
        <v>2.2351925118080259E-2</v>
      </c>
      <c r="C44" s="7">
        <f>Calc!D37</f>
        <v>5.22063574924021E-2</v>
      </c>
      <c r="D44" s="7">
        <f>(Calc!E37*Weights!$E$3+Calc!F37*Weights!$F$3)/$D$4</f>
        <v>1.1367523286253048E-2</v>
      </c>
      <c r="E44" s="7">
        <f>Calc!G37</f>
        <v>4.979613545844197E-3</v>
      </c>
      <c r="F44" s="7">
        <f>Calc!H37</f>
        <v>2.3332757113556868E-2</v>
      </c>
      <c r="G44" s="7">
        <f>Calc!D37</f>
        <v>5.22063574924021E-2</v>
      </c>
      <c r="H44" s="7">
        <f>Calc!E37</f>
        <v>1.4516578279457404E-2</v>
      </c>
      <c r="I44" s="7">
        <f>Calc!G37</f>
        <v>4.979613545844197E-3</v>
      </c>
      <c r="J44" s="7" cm="1">
        <f t="array" ref="J44">SUMPRODUCT($B$4:$E$4-$B$5:$E$5,F44:I44-Calc!J37)</f>
        <v>1.5288939177939176E-3</v>
      </c>
      <c r="K44" s="7" cm="1">
        <f t="array" ref="K44">SUMPRODUCT($B$5:$E$5,B44:E44-F44:I44)</f>
        <v>-1.8481211945677075E-3</v>
      </c>
      <c r="L44" s="7" cm="1">
        <f t="array" ref="L44">SUMPRODUCT($B$4:$E$4-$B$5:$E$5,B44:E44-F44:I44)</f>
        <v>3.8713649435104171E-5</v>
      </c>
      <c r="M44" s="7">
        <f t="shared" si="0"/>
        <v>-2.8051362733868575E-4</v>
      </c>
      <c r="N44" s="7">
        <f>Calc!K37</f>
        <v>-2.8051362733868407E-4</v>
      </c>
      <c r="O44" s="7" t="str">
        <f t="shared" si="1"/>
        <v>PASS</v>
      </c>
      <c r="P44" s="7"/>
    </row>
    <row r="45" spans="1:16" x14ac:dyDescent="0.2">
      <c r="A45" s="11">
        <f>Calc!A38</f>
        <v>45536</v>
      </c>
      <c r="B45" s="7">
        <f>(Calc!B38*Weights!$B$3+Calc!C38*Weights!$C$3+Calc!H38*Weights!$H$3)/$B$4</f>
        <v>2.2440439804029516E-2</v>
      </c>
      <c r="C45" s="7">
        <f>Calc!D38</f>
        <v>3.2696744055323856E-2</v>
      </c>
      <c r="D45" s="7">
        <f>(Calc!E38*Weights!$E$3+Calc!F38*Weights!$F$3)/$D$4</f>
        <v>1.2945400981033325E-2</v>
      </c>
      <c r="E45" s="7">
        <f>Calc!G38</f>
        <v>4.5856481525063941E-3</v>
      </c>
      <c r="F45" s="7">
        <f>Calc!H38</f>
        <v>2.1965106402162649E-2</v>
      </c>
      <c r="G45" s="7">
        <f>Calc!D38</f>
        <v>3.2696744055323856E-2</v>
      </c>
      <c r="H45" s="7">
        <f>Calc!E38</f>
        <v>1.3165341509400852E-2</v>
      </c>
      <c r="I45" s="7">
        <f>Calc!G38</f>
        <v>4.5856481525063941E-3</v>
      </c>
      <c r="J45" s="7" cm="1">
        <f t="array" ref="J45">SUMPRODUCT($B$4:$E$4-$B$5:$E$5,F45:I45-Calc!J38)</f>
        <v>-2.357973918047811E-4</v>
      </c>
      <c r="K45" s="7" cm="1">
        <f t="array" ref="K45">SUMPRODUCT($B$5:$E$5,B45:E45-F45:I45)</f>
        <v>1.9722382977310977E-4</v>
      </c>
      <c r="L45" s="7" cm="1">
        <f t="array" ref="L45">SUMPRODUCT($B$4:$E$4-$B$5:$E$5,B45:E45-F45:I45)</f>
        <v>-1.0606370679174982E-4</v>
      </c>
      <c r="M45" s="7">
        <f t="shared" si="0"/>
        <v>-1.4463726882342116E-4</v>
      </c>
      <c r="N45" s="7">
        <f>Calc!K38</f>
        <v>-1.4463726882342487E-4</v>
      </c>
      <c r="O45" s="7" t="str">
        <f t="shared" si="1"/>
        <v>PASS</v>
      </c>
      <c r="P45" s="7"/>
    </row>
    <row r="46" spans="1:16" x14ac:dyDescent="0.2">
      <c r="A46" s="11">
        <f>Calc!A39</f>
        <v>45566</v>
      </c>
      <c r="B46" s="7">
        <f>(Calc!B39*Weights!$B$3+Calc!C39*Weights!$C$3+Calc!H39*Weights!$H$3)/$B$4</f>
        <v>-2.1441592087329455E-2</v>
      </c>
      <c r="C46" s="7">
        <f>Calc!D39</f>
        <v>-3.3565924435741135E-2</v>
      </c>
      <c r="D46" s="7">
        <f>(Calc!E39*Weights!$E$3+Calc!F39*Weights!$F$3)/$D$4</f>
        <v>-1.878219856333278E-2</v>
      </c>
      <c r="E46" s="7">
        <f>Calc!G39</f>
        <v>3.576062732892682E-3</v>
      </c>
      <c r="F46" s="7">
        <f>Calc!H39</f>
        <v>-2.1804512618821548E-2</v>
      </c>
      <c r="G46" s="7">
        <f>Calc!D39</f>
        <v>-3.3565924435741135E-2</v>
      </c>
      <c r="H46" s="7">
        <f>Calc!E39</f>
        <v>-2.4556494417355634E-2</v>
      </c>
      <c r="I46" s="7">
        <f>Calc!G39</f>
        <v>3.576062732892682E-3</v>
      </c>
      <c r="J46" s="7" cm="1">
        <f t="array" ref="J46">SUMPRODUCT($B$4:$E$4-$B$5:$E$5,F46:I46-Calc!J39)</f>
        <v>-4.4711504032951023E-5</v>
      </c>
      <c r="K46" s="7" cm="1">
        <f t="array" ref="K46">SUMPRODUCT($B$5:$E$5,B46:E46-F46:I46)</f>
        <v>2.5274706605043977E-3</v>
      </c>
      <c r="L46" s="7" cm="1">
        <f t="array" ref="L46">SUMPRODUCT($B$4:$E$4-$B$5:$E$5,B46:E46-F46:I46)</f>
        <v>2.1613068640272381E-4</v>
      </c>
      <c r="M46" s="7">
        <f t="shared" si="0"/>
        <v>2.6988898428741705E-3</v>
      </c>
      <c r="N46" s="7">
        <f>Calc!K39</f>
        <v>2.6988898428741727E-3</v>
      </c>
      <c r="O46" s="7" t="str">
        <f t="shared" si="1"/>
        <v>PASS</v>
      </c>
      <c r="P46" s="7"/>
    </row>
    <row r="47" spans="1:16" x14ac:dyDescent="0.2">
      <c r="A47" s="11">
        <f>Calc!A40</f>
        <v>45597</v>
      </c>
      <c r="B47" s="7">
        <f>(Calc!B40*Weights!$B$3+Calc!C40*Weights!$C$3+Calc!H40*Weights!$H$3)/$B$4</f>
        <v>4.1028349566505223E-2</v>
      </c>
      <c r="C47" s="7">
        <f>Calc!D40</f>
        <v>4.2591547334795754E-2</v>
      </c>
      <c r="D47" s="7">
        <f>(Calc!E40*Weights!$E$3+Calc!F40*Weights!$F$3)/$D$4</f>
        <v>1.2673293437494459E-2</v>
      </c>
      <c r="E47" s="7">
        <f>Calc!G40</f>
        <v>3.6966476736464138E-3</v>
      </c>
      <c r="F47" s="7">
        <f>Calc!H40</f>
        <v>4.1421207695605977E-2</v>
      </c>
      <c r="G47" s="7">
        <f>Calc!D40</f>
        <v>4.2591547334795754E-2</v>
      </c>
      <c r="H47" s="7">
        <f>Calc!E40</f>
        <v>1.068357384281704E-2</v>
      </c>
      <c r="I47" s="7">
        <f>Calc!G40</f>
        <v>3.6966476736464138E-3</v>
      </c>
      <c r="J47" s="7" cm="1">
        <f t="array" ref="J47">SUMPRODUCT($B$4:$E$4-$B$5:$E$5,F47:I47-Calc!J40)</f>
        <v>-3.3060757298184456E-3</v>
      </c>
      <c r="K47" s="7" cm="1">
        <f t="array" ref="K47">SUMPRODUCT($B$5:$E$5,B47:E47-F47:I47)</f>
        <v>5.601729604105155E-4</v>
      </c>
      <c r="L47" s="7" cm="1">
        <f t="array" ref="L47">SUMPRODUCT($B$4:$E$4-$B$5:$E$5,B47:E47-F47:I47)</f>
        <v>1.7805760555402155E-4</v>
      </c>
      <c r="M47" s="7">
        <f t="shared" si="0"/>
        <v>-2.5678451638539088E-3</v>
      </c>
      <c r="N47" s="7">
        <f>Calc!K40</f>
        <v>-2.5678451638539122E-3</v>
      </c>
      <c r="O47" s="7" t="str">
        <f t="shared" si="1"/>
        <v>PASS</v>
      </c>
      <c r="P47" s="7"/>
    </row>
    <row r="48" spans="1:16" x14ac:dyDescent="0.2">
      <c r="A48" s="11">
        <f>Calc!A41</f>
        <v>45627</v>
      </c>
      <c r="B48" s="7">
        <f>(Calc!B41*Weights!$B$3+Calc!C41*Weights!$C$3+Calc!H41*Weights!$H$3)/$B$4</f>
        <v>-2.977613172448712E-2</v>
      </c>
      <c r="C48" s="7">
        <f>Calc!D41</f>
        <v>-8.3721788570352507E-2</v>
      </c>
      <c r="D48" s="7">
        <f>(Calc!E41*Weights!$E$3+Calc!F41*Weights!$F$3)/$D$4</f>
        <v>-1.3766799796788964E-2</v>
      </c>
      <c r="E48" s="7">
        <f>Calc!G41</f>
        <v>4.0311612957912857E-3</v>
      </c>
      <c r="F48" s="7">
        <f>Calc!H41</f>
        <v>-2.9363849384980933E-2</v>
      </c>
      <c r="G48" s="7">
        <f>Calc!D41</f>
        <v>-8.3721788570352507E-2</v>
      </c>
      <c r="H48" s="7">
        <f>Calc!E41</f>
        <v>-1.6809831846909651E-2</v>
      </c>
      <c r="I48" s="7">
        <f>Calc!G41</f>
        <v>4.0311612957912857E-3</v>
      </c>
      <c r="J48" s="7" cm="1">
        <f t="array" ref="J48">SUMPRODUCT($B$4:$E$4-$B$5:$E$5,F48:I48-Calc!J41)</f>
        <v>-3.1383425075949831E-3</v>
      </c>
      <c r="K48" s="7" cm="1">
        <f t="array" ref="K48">SUMPRODUCT($B$5:$E$5,B48:E48-F48:I48)</f>
        <v>9.6984341634456241E-4</v>
      </c>
      <c r="L48" s="7" cm="1">
        <f t="array" ref="L48">SUMPRODUCT($B$4:$E$4-$B$5:$E$5,B48:E48-F48:I48)</f>
        <v>2.3460807040727151E-4</v>
      </c>
      <c r="M48" s="7">
        <f t="shared" si="0"/>
        <v>-1.9338910208431493E-3</v>
      </c>
      <c r="N48" s="7">
        <f>Calc!K41</f>
        <v>-1.9338910208431502E-3</v>
      </c>
      <c r="O48" s="7" t="str">
        <f t="shared" si="1"/>
        <v>PASS</v>
      </c>
      <c r="P48" s="7"/>
    </row>
    <row r="49" spans="1:16" x14ac:dyDescent="0.2">
      <c r="A49" s="11">
        <f>Calc!A42</f>
        <v>45658</v>
      </c>
      <c r="B49" s="7">
        <f>(Calc!B42*Weights!$B$3+Calc!C42*Weights!$C$3+Calc!H42*Weights!$H$3)/$B$4</f>
        <v>3.1619661535153692E-2</v>
      </c>
      <c r="C49" s="7">
        <f>Calc!D42</f>
        <v>1.6501992486327666E-2</v>
      </c>
      <c r="D49" s="7">
        <f>(Calc!E42*Weights!$E$3+Calc!F42*Weights!$F$3)/$D$4</f>
        <v>4.801885817252642E-3</v>
      </c>
      <c r="E49" s="7">
        <f>Calc!G42</f>
        <v>3.6327422949868904E-3</v>
      </c>
      <c r="F49" s="7">
        <f>Calc!H42</f>
        <v>3.0558317723715644E-2</v>
      </c>
      <c r="G49" s="7">
        <f>Calc!D42</f>
        <v>1.6501992486327666E-2</v>
      </c>
      <c r="H49" s="7">
        <f>Calc!E42</f>
        <v>5.9796659977495725E-3</v>
      </c>
      <c r="I49" s="7">
        <f>Calc!G42</f>
        <v>3.6327422949868904E-3</v>
      </c>
      <c r="J49" s="7" cm="1">
        <f t="array" ref="J49">SUMPRODUCT($B$4:$E$4-$B$5:$E$5,F49:I49-Calc!J42)</f>
        <v>-3.9808438814735378E-3</v>
      </c>
      <c r="K49" s="7" cm="1">
        <f t="array" ref="K49">SUMPRODUCT($B$5:$E$5,B49:E49-F49:I49)</f>
        <v>1.6569421466405658E-4</v>
      </c>
      <c r="L49" s="7" cm="1">
        <f t="array" ref="L49">SUMPRODUCT($B$4:$E$4-$B$5:$E$5,B49:E49-F49:I49)</f>
        <v>-2.7115777131245602E-4</v>
      </c>
      <c r="M49" s="7">
        <f t="shared" si="0"/>
        <v>-4.0863074381219371E-3</v>
      </c>
      <c r="N49" s="7">
        <f>Calc!K42</f>
        <v>-4.0863074381219423E-3</v>
      </c>
      <c r="O49" s="7" t="str">
        <f t="shared" si="1"/>
        <v>PASS</v>
      </c>
      <c r="P49" s="7"/>
    </row>
    <row r="50" spans="1:16" x14ac:dyDescent="0.2">
      <c r="A50" s="11">
        <f>Calc!A43</f>
        <v>45689</v>
      </c>
      <c r="B50" s="7">
        <f>(Calc!B43*Weights!$B$3+Calc!C43*Weights!$C$3+Calc!H43*Weights!$H$3)/$B$4</f>
        <v>-4.8493152935562556E-3</v>
      </c>
      <c r="C50" s="7">
        <f>Calc!D43</f>
        <v>3.6996029105304418E-2</v>
      </c>
      <c r="D50" s="7">
        <f>(Calc!E43*Weights!$E$3+Calc!F43*Weights!$F$3)/$D$4</f>
        <v>1.7318848648016694E-2</v>
      </c>
      <c r="E50" s="7">
        <f>Calc!G43</f>
        <v>3.1150420936860712E-3</v>
      </c>
      <c r="F50" s="7">
        <f>Calc!H43</f>
        <v>-4.1298204649885539E-3</v>
      </c>
      <c r="G50" s="7">
        <f>Calc!D43</f>
        <v>3.6996029105304418E-2</v>
      </c>
      <c r="H50" s="7">
        <f>Calc!E43</f>
        <v>2.1565807622955679E-2</v>
      </c>
      <c r="I50" s="7">
        <f>Calc!G43</f>
        <v>3.1150420936860712E-3</v>
      </c>
      <c r="J50" s="7" cm="1">
        <f t="array" ref="J50">SUMPRODUCT($B$4:$E$4-$B$5:$E$5,F50:I50-Calc!J43)</f>
        <v>5.7596094893602387E-3</v>
      </c>
      <c r="K50" s="7" cm="1">
        <f t="array" ref="K50">SUMPRODUCT($B$5:$E$5,B50:E50-F50:I50)</f>
        <v>-2.1304804871162151E-3</v>
      </c>
      <c r="L50" s="7" cm="1">
        <f t="array" ref="L50">SUMPRODUCT($B$4:$E$4-$B$5:$E$5,B50:E50-F50:I50)</f>
        <v>-6.8448983033408695E-5</v>
      </c>
      <c r="M50" s="7">
        <f t="shared" si="0"/>
        <v>3.560680019210615E-3</v>
      </c>
      <c r="N50" s="7">
        <f>Calc!K43</f>
        <v>3.560680019210615E-3</v>
      </c>
      <c r="O50" s="7" t="str">
        <f t="shared" si="1"/>
        <v>PASS</v>
      </c>
      <c r="P50" s="7"/>
    </row>
    <row r="51" spans="1:16" x14ac:dyDescent="0.2">
      <c r="A51" s="11">
        <f>Calc!A44</f>
        <v>45717</v>
      </c>
      <c r="B51" s="7">
        <f>(Calc!B44*Weights!$B$3+Calc!C44*Weights!$C$3+Calc!H44*Weights!$H$3)/$B$4</f>
        <v>-3.5169473410014016E-2</v>
      </c>
      <c r="C51" s="7">
        <f>Calc!D44</f>
        <v>-2.58778409164927E-2</v>
      </c>
      <c r="D51" s="7">
        <f>(Calc!E44*Weights!$E$3+Calc!F44*Weights!$F$3)/$D$4</f>
        <v>-3.8654652058156551E-3</v>
      </c>
      <c r="E51" s="7">
        <f>Calc!G44</f>
        <v>3.3427991372698695E-3</v>
      </c>
      <c r="F51" s="7">
        <f>Calc!H44</f>
        <v>-3.5176813332545187E-2</v>
      </c>
      <c r="G51" s="7">
        <f>Calc!D44</f>
        <v>-2.58778409164927E-2</v>
      </c>
      <c r="H51" s="7">
        <f>Calc!E44</f>
        <v>1.2235558169337857E-4</v>
      </c>
      <c r="I51" s="7">
        <f>Calc!G44</f>
        <v>3.3427991372698695E-3</v>
      </c>
      <c r="J51" s="7" cm="1">
        <f t="array" ref="J51">SUMPRODUCT($B$4:$E$4-$B$5:$E$5,F51:I51-Calc!J44)</f>
        <v>4.6208363108079277E-3</v>
      </c>
      <c r="K51" s="7" cm="1">
        <f t="array" ref="K51">SUMPRODUCT($B$5:$E$5,B51:E51-F51:I51)</f>
        <v>-1.5907243614849105E-3</v>
      </c>
      <c r="L51" s="7" cm="1">
        <f t="array" ref="L51">SUMPRODUCT($B$4:$E$4-$B$5:$E$5,B51:E51-F51:I51)</f>
        <v>-2.008590238816857E-4</v>
      </c>
      <c r="M51" s="7">
        <f t="shared" si="0"/>
        <v>2.8292529254413316E-3</v>
      </c>
      <c r="N51" s="7">
        <f>Calc!K44</f>
        <v>2.8292529254413355E-3</v>
      </c>
      <c r="O51" s="7" t="str">
        <f t="shared" si="1"/>
        <v>PASS</v>
      </c>
      <c r="P51" s="7"/>
    </row>
    <row r="52" spans="1:16" x14ac:dyDescent="0.2">
      <c r="A52" s="11">
        <f>Calc!A45</f>
        <v>45748</v>
      </c>
      <c r="B52" s="7">
        <f>(Calc!B45*Weights!$B$3+Calc!C45*Weights!$C$3+Calc!H45*Weights!$H$3)/$B$4</f>
        <v>6.0345187436907635E-3</v>
      </c>
      <c r="C52" s="7">
        <f>Calc!D45</f>
        <v>-2.4408979594456759E-2</v>
      </c>
      <c r="D52" s="7">
        <f>(Calc!E45*Weights!$E$3+Calc!F45*Weights!$F$3)/$D$4</f>
        <v>8.3752397902345042E-3</v>
      </c>
      <c r="E52" s="7">
        <f>Calc!G45</f>
        <v>3.4883943619521407E-3</v>
      </c>
      <c r="F52" s="7">
        <f>Calc!H45</f>
        <v>5.6059431252670766E-3</v>
      </c>
      <c r="G52" s="7">
        <f>Calc!D45</f>
        <v>-2.4408979594456759E-2</v>
      </c>
      <c r="H52" s="7">
        <f>Calc!E45</f>
        <v>3.9611368341037068E-3</v>
      </c>
      <c r="I52" s="7">
        <f>Calc!G45</f>
        <v>3.4883943619521407E-3</v>
      </c>
      <c r="J52" s="7" cm="1">
        <f t="array" ref="J52">SUMPRODUCT($B$4:$E$4-$B$5:$E$5,F52:I52-Calc!J45)</f>
        <v>-3.1896100246962991E-3</v>
      </c>
      <c r="K52" s="7" cm="1">
        <f t="array" ref="K52">SUMPRODUCT($B$5:$E$5,B52:E52-F52:I52)</f>
        <v>2.0227865535065309E-3</v>
      </c>
      <c r="L52" s="7" cm="1">
        <f t="array" ref="L52">SUMPRODUCT($B$4:$E$4-$B$5:$E$5,B52:E52-F52:I52)</f>
        <v>1.3499002412180222E-4</v>
      </c>
      <c r="M52" s="7">
        <f t="shared" si="0"/>
        <v>-1.031833447067966E-3</v>
      </c>
      <c r="N52" s="7">
        <f>Calc!K45</f>
        <v>-1.0318334470679653E-3</v>
      </c>
      <c r="O52" s="7" t="str">
        <f t="shared" si="1"/>
        <v>PASS</v>
      </c>
      <c r="P52" s="7"/>
    </row>
    <row r="53" spans="1:16" x14ac:dyDescent="0.2">
      <c r="A53" s="11">
        <f>Calc!A46</f>
        <v>45778</v>
      </c>
      <c r="B53" s="7">
        <f>(Calc!B46*Weights!$B$3+Calc!C46*Weights!$C$3+Calc!H46*Weights!$H$3)/$B$4</f>
        <v>5.7168908250764032E-2</v>
      </c>
      <c r="C53" s="7">
        <f>Calc!D46</f>
        <v>1.1207864614061869E-2</v>
      </c>
      <c r="D53" s="7">
        <f>(Calc!E46*Weights!$E$3+Calc!F46*Weights!$F$3)/$D$4</f>
        <v>-4.468226580747193E-3</v>
      </c>
      <c r="E53" s="7">
        <f>Calc!G46</f>
        <v>3.1976018497970049E-3</v>
      </c>
      <c r="F53" s="7">
        <f>Calc!H46</f>
        <v>5.8061813375128501E-2</v>
      </c>
      <c r="G53" s="7">
        <f>Calc!D46</f>
        <v>1.1207864614061869E-2</v>
      </c>
      <c r="H53" s="7">
        <f>Calc!E46</f>
        <v>-6.7427312744267054E-3</v>
      </c>
      <c r="I53" s="7">
        <f>Calc!G46</f>
        <v>3.1976018497970049E-3</v>
      </c>
      <c r="J53" s="7" cm="1">
        <f t="array" ref="J53">SUMPRODUCT($B$4:$E$4-$B$5:$E$5,F53:I53-Calc!J46)</f>
        <v>-1.0668832684850995E-2</v>
      </c>
      <c r="K53" s="7" cm="1">
        <f t="array" ref="K53">SUMPRODUCT($B$5:$E$5,B53:E53-F53:I53)</f>
        <v>3.7405880285312331E-4</v>
      </c>
      <c r="L53" s="7" cm="1">
        <f t="array" ref="L53">SUMPRODUCT($B$4:$E$4-$B$5:$E$5,B53:E53-F53:I53)</f>
        <v>2.9230625955686937E-4</v>
      </c>
      <c r="M53" s="7">
        <f t="shared" si="0"/>
        <v>-1.0002467622441003E-2</v>
      </c>
      <c r="N53" s="7">
        <f>Calc!K46</f>
        <v>-1.0002467622441006E-2</v>
      </c>
      <c r="O53" s="7" t="str">
        <f t="shared" si="1"/>
        <v>PASS</v>
      </c>
      <c r="P53" s="7"/>
    </row>
    <row r="54" spans="1:16" x14ac:dyDescent="0.2">
      <c r="A54" s="11">
        <f>Calc!A47</f>
        <v>45809</v>
      </c>
      <c r="B54" s="7">
        <f>(Calc!B47*Weights!$B$3+Calc!C47*Weights!$C$3+Calc!H47*Weights!$H$3)/$B$4</f>
        <v>4.7111134266857674E-2</v>
      </c>
      <c r="C54" s="7">
        <f>Calc!D47</f>
        <v>6.8849920566473877E-3</v>
      </c>
      <c r="D54" s="7">
        <f>(Calc!E47*Weights!$E$3+Calc!F47*Weights!$F$3)/$D$4</f>
        <v>1.1238913143004922E-2</v>
      </c>
      <c r="E54" s="7">
        <f>Calc!G47</f>
        <v>3.4259006309509399E-3</v>
      </c>
      <c r="F54" s="7">
        <f>Calc!H47</f>
        <v>4.6731457823858014E-2</v>
      </c>
      <c r="G54" s="7">
        <f>Calc!D47</f>
        <v>6.8849920566473877E-3</v>
      </c>
      <c r="H54" s="7">
        <f>Calc!E47</f>
        <v>1.5166147417854825E-2</v>
      </c>
      <c r="I54" s="7">
        <f>Calc!G47</f>
        <v>3.4259006309509399E-3</v>
      </c>
      <c r="J54" s="7" cm="1">
        <f t="array" ref="J54">SUMPRODUCT($B$4:$E$4-$B$5:$E$5,F54:I54-Calc!J47)</f>
        <v>-7.728189956666574E-3</v>
      </c>
      <c r="K54" s="7" cm="1">
        <f t="array" ref="K54">SUMPRODUCT($B$5:$E$5,B54:E54-F54:I54)</f>
        <v>-1.3430878441401651E-3</v>
      </c>
      <c r="L54" s="7" cm="1">
        <f t="array" ref="L54">SUMPRODUCT($B$4:$E$4-$B$5:$E$5,B54:E54-F54:I54)</f>
        <v>-2.7229700234242694E-4</v>
      </c>
      <c r="M54" s="7">
        <f t="shared" si="0"/>
        <v>-9.3435748031491656E-3</v>
      </c>
      <c r="N54" s="7">
        <f>Calc!K47</f>
        <v>-9.343574803149169E-3</v>
      </c>
      <c r="O54" s="7" t="str">
        <f t="shared" si="1"/>
        <v>PASS</v>
      </c>
      <c r="P54" s="7"/>
    </row>
    <row r="55" spans="1:16" x14ac:dyDescent="0.2">
      <c r="A55" s="11">
        <f>Calc!A48</f>
        <v>45839</v>
      </c>
      <c r="B55" s="7">
        <f>(Calc!B48*Weights!$B$3+Calc!C48*Weights!$C$3+Calc!H48*Weights!$H$3)/$B$4</f>
        <v>1.0947410084331283E-2</v>
      </c>
      <c r="C55" s="7">
        <f>Calc!D48</f>
        <v>8.9818067029390214E-4</v>
      </c>
      <c r="D55" s="7">
        <f>(Calc!E48*Weights!$E$3+Calc!F48*Weights!$F$3)/$D$4</f>
        <v>-2.1489690632172285E-3</v>
      </c>
      <c r="E55" s="7">
        <f>Calc!G48</f>
        <v>3.280256586118746E-3</v>
      </c>
      <c r="F55" s="7">
        <f>Calc!H48</f>
        <v>1.097103049127468E-2</v>
      </c>
      <c r="G55" s="7">
        <f>Calc!D48</f>
        <v>8.9818067029390214E-4</v>
      </c>
      <c r="H55" s="7">
        <f>Calc!E48</f>
        <v>-2.6566741713095476E-3</v>
      </c>
      <c r="I55" s="7">
        <f>Calc!G48</f>
        <v>3.280256586118746E-3</v>
      </c>
      <c r="J55" s="7" cm="1">
        <f t="array" ref="J55">SUMPRODUCT($B$4:$E$4-$B$5:$E$5,F55:I55-Calc!J48)</f>
        <v>-2.0732089104850858E-3</v>
      </c>
      <c r="K55" s="7" cm="1">
        <f t="array" ref="K55">SUMPRODUCT($B$5:$E$5,B55:E55-F55:I55)</f>
        <v>1.8890979907088909E-4</v>
      </c>
      <c r="L55" s="7" cm="1">
        <f t="array" ref="L55">SUMPRODUCT($B$4:$E$4-$B$5:$E$5,B55:E55-F55:I55)</f>
        <v>3.0109336793295447E-5</v>
      </c>
      <c r="M55" s="7">
        <f t="shared" si="0"/>
        <v>-1.8541897746209013E-3</v>
      </c>
      <c r="N55" s="7">
        <f>Calc!K48</f>
        <v>-1.8541897746209013E-3</v>
      </c>
      <c r="O55" s="7" t="str">
        <f t="shared" si="1"/>
        <v>PASS</v>
      </c>
      <c r="P55" s="7"/>
    </row>
    <row r="56" spans="1:16" x14ac:dyDescent="0.2">
      <c r="A56" s="11">
        <f>Calc!A49</f>
        <v>45870</v>
      </c>
      <c r="B56" s="7">
        <f>(Calc!B49*Weights!$B$3+Calc!C49*Weights!$C$3+Calc!H49*Weights!$H$3)/$B$4</f>
        <v>3.0578567025366262E-2</v>
      </c>
      <c r="C56" s="7">
        <f>Calc!D49</f>
        <v>3.4776743190865878E-2</v>
      </c>
      <c r="D56" s="7">
        <f>(Calc!E49*Weights!$E$3+Calc!F49*Weights!$F$3)/$D$4</f>
        <v>8.1473262483957587E-3</v>
      </c>
      <c r="E56" s="7">
        <f>Calc!G49</f>
        <v>4.2261075413687621E-3</v>
      </c>
      <c r="F56" s="7">
        <f>Calc!H49</f>
        <v>2.9554521463793559E-2</v>
      </c>
      <c r="G56" s="7">
        <f>Calc!D49</f>
        <v>3.4776743190865878E-2</v>
      </c>
      <c r="H56" s="7">
        <f>Calc!E49</f>
        <v>1.1540692785587892E-2</v>
      </c>
      <c r="I56" s="7">
        <f>Calc!G49</f>
        <v>4.2261075413687621E-3</v>
      </c>
      <c r="J56" s="7" cm="1">
        <f t="array" ref="J56">SUMPRODUCT($B$4:$E$4-$B$5:$E$5,F56:I56-Calc!J49)</f>
        <v>-1.6448899573242907E-3</v>
      </c>
      <c r="K56" s="7" cm="1">
        <f t="array" ref="K56">SUMPRODUCT($B$5:$E$5,B56:E56-F56:I56)</f>
        <v>-7.4291927793323153E-4</v>
      </c>
      <c r="L56" s="7" cm="1">
        <f t="array" ref="L56">SUMPRODUCT($B$4:$E$4-$B$5:$E$5,B56:E56-F56:I56)</f>
        <v>-3.7447743917414693E-4</v>
      </c>
      <c r="M56" s="7">
        <f t="shared" si="0"/>
        <v>-2.762286674431669E-3</v>
      </c>
      <c r="N56" s="7">
        <f>Calc!K49</f>
        <v>-2.7622866744316694E-3</v>
      </c>
      <c r="O56" s="7" t="str">
        <f t="shared" si="1"/>
        <v>PASS</v>
      </c>
      <c r="P56" s="7"/>
    </row>
    <row r="57" spans="1:16" x14ac:dyDescent="0.2">
      <c r="A57" s="11">
        <f>Calc!A50</f>
        <v>45901</v>
      </c>
      <c r="B57" s="7">
        <f>(Calc!B50*Weights!$B$3+Calc!C50*Weights!$C$3+Calc!H50*Weights!$H$3)/$B$4</f>
        <v>3.4250080753605909E-2</v>
      </c>
      <c r="C57" s="7">
        <f>Calc!D50</f>
        <v>5.7638171288409978E-4</v>
      </c>
      <c r="D57" s="7">
        <f>(Calc!E50*Weights!$E$3+Calc!F50*Weights!$F$3)/$D$4</f>
        <v>9.1233494923269962E-3</v>
      </c>
      <c r="E57" s="7">
        <f>Calc!G50</f>
        <v>3.5240467035144718E-3</v>
      </c>
      <c r="F57" s="7">
        <f>Calc!H50</f>
        <v>3.3713071635157021E-2</v>
      </c>
      <c r="G57" s="7">
        <f>Calc!D50</f>
        <v>5.7638171288409978E-4</v>
      </c>
      <c r="H57" s="7">
        <f>Calc!E50</f>
        <v>1.1052898878560979E-2</v>
      </c>
      <c r="I57" s="7">
        <f>Calc!G50</f>
        <v>3.5240467035144718E-3</v>
      </c>
      <c r="J57" s="7" cm="1">
        <f t="array" ref="J57">SUMPRODUCT($B$4:$E$4-$B$5:$E$5,F57:I57-Calc!J50)</f>
        <v>-5.9561288766392211E-3</v>
      </c>
      <c r="K57" s="7" cm="1">
        <f t="array" ref="K57">SUMPRODUCT($B$5:$E$5,B57:E57-F57:I57)</f>
        <v>-4.4961428342426077E-4</v>
      </c>
      <c r="L57" s="7" cm="1">
        <f t="array" ref="L57">SUMPRODUCT($B$4:$E$4-$B$5:$E$5,B57:E57-F57:I57)</f>
        <v>-2.0387929300147653E-4</v>
      </c>
      <c r="M57" s="7">
        <f t="shared" si="0"/>
        <v>-6.6096224530649587E-3</v>
      </c>
      <c r="N57" s="7">
        <f>Calc!K50</f>
        <v>-6.6096224530649596E-3</v>
      </c>
      <c r="O57" s="7" t="str">
        <f t="shared" si="1"/>
        <v>PASS</v>
      </c>
      <c r="P57" s="7"/>
    </row>
    <row r="58" spans="1:16" x14ac:dyDescent="0.2">
      <c r="A58" s="11">
        <f>Calc!A51</f>
        <v>45931</v>
      </c>
      <c r="B58" s="7">
        <f>(Calc!B51*Weights!$B$3+Calc!C51*Weights!$C$3+Calc!H51*Weights!$H$3)/$B$4</f>
        <v>1.9780323095979848E-2</v>
      </c>
      <c r="C58" s="7">
        <f>Calc!D51</f>
        <v>-2.4502248811026028E-2</v>
      </c>
      <c r="D58" s="7">
        <f>(Calc!E51*Weights!$E$3+Calc!F51*Weights!$F$3)/$D$4</f>
        <v>7.3628941297538839E-3</v>
      </c>
      <c r="E58" s="7">
        <f>Calc!G51</f>
        <v>3.3325638822230275E-3</v>
      </c>
      <c r="F58" s="7">
        <f>Calc!H51</f>
        <v>2.0246704612562727E-2</v>
      </c>
      <c r="G58" s="7">
        <f>Calc!D51</f>
        <v>-2.4502248811026028E-2</v>
      </c>
      <c r="H58" s="7">
        <f>Calc!E51</f>
        <v>6.0297347360220854E-3</v>
      </c>
      <c r="I58" s="7">
        <f>Calc!G51</f>
        <v>3.3325638822230275E-3</v>
      </c>
      <c r="J58" s="7" cm="1">
        <f t="array" ref="J58">SUMPRODUCT($B$4:$E$4-$B$5:$E$5,F58:I58-Calc!J51)</f>
        <v>-6.0314508727028916E-3</v>
      </c>
      <c r="K58" s="7" cm="1">
        <f t="array" ref="K58">SUMPRODUCT($B$5:$E$5,B58:E58-F58:I58)</f>
        <v>2.5343484754299209E-4</v>
      </c>
      <c r="L58" s="7" cm="1">
        <f t="array" ref="L58">SUMPRODUCT($B$4:$E$4-$B$5:$E$5,B58:E58-F58:I58)</f>
        <v>1.5993427300316562E-4</v>
      </c>
      <c r="M58" s="7">
        <f t="shared" si="0"/>
        <v>-5.6180817521567341E-3</v>
      </c>
      <c r="N58" s="7">
        <f>Calc!K51</f>
        <v>-5.6180817521567332E-3</v>
      </c>
      <c r="O58" s="7" t="str">
        <f t="shared" si="1"/>
        <v>PASS</v>
      </c>
      <c r="P58" s="7"/>
    </row>
    <row r="59" spans="1:16" x14ac:dyDescent="0.2">
      <c r="A59" s="11">
        <f>Calc!A52</f>
        <v>45962</v>
      </c>
      <c r="B59" s="7">
        <f>(Calc!B52*Weights!$B$3+Calc!C52*Weights!$C$3+Calc!H52*Weights!$H$3)/$B$4</f>
        <v>3.2159812981177589E-3</v>
      </c>
      <c r="C59" s="7">
        <f>Calc!D52</f>
        <v>2.4220679093870379E-2</v>
      </c>
      <c r="D59" s="7">
        <f>(Calc!E52*Weights!$E$3+Calc!F52*Weights!$F$3)/$D$4</f>
        <v>3.3720837972133211E-3</v>
      </c>
      <c r="E59" s="7">
        <f>Calc!G52</f>
        <v>3.0060007594485683E-3</v>
      </c>
      <c r="F59" s="7">
        <f>Calc!H52</f>
        <v>2.1338340636447573E-3</v>
      </c>
      <c r="G59" s="7">
        <f>Calc!D52</f>
        <v>2.4220679093870379E-2</v>
      </c>
      <c r="H59" s="7">
        <f>Calc!E52</f>
        <v>5.972723957182513E-3</v>
      </c>
      <c r="I59" s="7">
        <f>Calc!G52</f>
        <v>3.0060007594485683E-3</v>
      </c>
      <c r="J59" s="7" cm="1">
        <f t="array" ref="J59">SUMPRODUCT($B$4:$E$4-$B$5:$E$5,F59:I59-Calc!J52)</f>
        <v>2.4442373324896401E-3</v>
      </c>
      <c r="K59" s="7" cm="1">
        <f t="array" ref="K59">SUMPRODUCT($B$5:$E$5,B59:E59-F59:I59)</f>
        <v>-3.9096772330387576E-4</v>
      </c>
      <c r="L59" s="7" cm="1">
        <f t="array" ref="L59">SUMPRODUCT($B$4:$E$4-$B$5:$E$5,B59:E59-F59:I59)</f>
        <v>-3.4646145489305969E-4</v>
      </c>
      <c r="M59" s="7">
        <f t="shared" si="0"/>
        <v>1.7068081542927047E-3</v>
      </c>
      <c r="N59" s="7">
        <f>Calc!K52</f>
        <v>1.7068081542927038E-3</v>
      </c>
      <c r="O59" s="7" t="str">
        <f t="shared" si="1"/>
        <v>PASS</v>
      </c>
      <c r="P59" s="7"/>
    </row>
    <row r="60" spans="1:16" x14ac:dyDescent="0.2">
      <c r="A60" s="11">
        <f>Calc!A53</f>
        <v>45992</v>
      </c>
      <c r="B60" s="7">
        <f>(Calc!B53*Weights!$B$3+Calc!C53*Weights!$C$3+Calc!H53*Weights!$H$3)/$B$4</f>
        <v>9.2703717444587164E-3</v>
      </c>
      <c r="C60" s="7">
        <f>Calc!D53</f>
        <v>-2.2362604821730248E-2</v>
      </c>
      <c r="D60" s="7">
        <f>(Calc!E53*Weights!$E$3+Calc!F53*Weights!$F$3)/$D$4</f>
        <v>-3.7316980405717182E-3</v>
      </c>
      <c r="E60" s="7">
        <f>Calc!G53</f>
        <v>3.7191111913232877E-3</v>
      </c>
      <c r="F60" s="7">
        <f>Calc!H53</f>
        <v>9.219181605501614E-3</v>
      </c>
      <c r="G60" s="7">
        <f>Calc!D53</f>
        <v>-2.2362604821730248E-2</v>
      </c>
      <c r="H60" s="7">
        <f>Calc!E53</f>
        <v>-3.0016571196603836E-3</v>
      </c>
      <c r="I60" s="7">
        <f>Calc!G53</f>
        <v>3.7191111913232877E-3</v>
      </c>
      <c r="J60" s="7" cm="1">
        <f t="array" ref="J60">SUMPRODUCT($B$4:$E$4-$B$5:$E$5,F60:I60-Calc!J53)</f>
        <v>-4.0442240996902013E-3</v>
      </c>
      <c r="K60" s="7" cm="1">
        <f t="array" ref="K60">SUMPRODUCT($B$5:$E$5,B60:E60-F60:I60)</f>
        <v>-2.6130228499027242E-4</v>
      </c>
      <c r="L60" s="7" cm="1">
        <f t="array" ref="L60">SUMPRODUCT($B$4:$E$4-$B$5:$E$5,B60:E60-F60:I60)</f>
        <v>-4.6740073836987139E-5</v>
      </c>
      <c r="M60" s="7">
        <f t="shared" si="0"/>
        <v>-4.3522664585174606E-3</v>
      </c>
      <c r="N60" s="7">
        <f>Calc!K53</f>
        <v>-4.3522664585174623E-3</v>
      </c>
      <c r="O60" s="7" t="str">
        <f t="shared" si="1"/>
        <v>PASS</v>
      </c>
      <c r="P60" s="7"/>
    </row>
    <row r="61" spans="1:16" x14ac:dyDescent="0.2">
      <c r="A61" s="11">
        <f>Calc!A54</f>
        <v>46023</v>
      </c>
      <c r="B61" s="7">
        <f>(Calc!B54*Weights!$B$3+Calc!C54*Weights!$C$3+Calc!H54*Weights!$H$3)/$B$4</f>
        <v>3.0857155003543659E-2</v>
      </c>
      <c r="C61" s="7">
        <f>Calc!D54</f>
        <v>2.6104634181506547E-2</v>
      </c>
      <c r="D61" s="7">
        <f>(Calc!E54*Weights!$E$3+Calc!F54*Weights!$F$3)/$D$4</f>
        <v>3.1648026153128228E-3</v>
      </c>
      <c r="E61" s="7">
        <f>Calc!G54</f>
        <v>2.6328865503779664E-3</v>
      </c>
      <c r="F61" s="7">
        <f>Calc!H54</f>
        <v>3.112152387602185E-2</v>
      </c>
      <c r="G61" s="7">
        <f>Calc!D54</f>
        <v>2.6104634181506547E-2</v>
      </c>
      <c r="H61" s="7">
        <f>Calc!E54</f>
        <v>2.1602635931403658E-3</v>
      </c>
      <c r="I61" s="7">
        <f>Calc!G54</f>
        <v>2.6328865503779664E-3</v>
      </c>
      <c r="J61" s="7" cm="1">
        <f t="array" ref="J61">SUMPRODUCT($B$4:$E$4-$B$5:$E$5,F61:I61-Calc!J54)</f>
        <v>-3.3741838498777973E-3</v>
      </c>
      <c r="K61" s="7" cm="1">
        <f t="array" ref="K61">SUMPRODUCT($B$5:$E$5,B61:E61-F61:I61)</f>
        <v>2.4319428538206804E-4</v>
      </c>
      <c r="L61" s="7" cm="1">
        <f t="array" ref="L61">SUMPRODUCT($B$4:$E$4-$B$5:$E$5,B61:E61-F61:I61)</f>
        <v>1.0310072560426104E-4</v>
      </c>
      <c r="M61" s="7">
        <f t="shared" si="0"/>
        <v>-3.0278888388914679E-3</v>
      </c>
      <c r="N61" s="7">
        <f>Calc!K54</f>
        <v>-3.0278888388914661E-3</v>
      </c>
      <c r="O61" s="7" t="str">
        <f t="shared" si="1"/>
        <v>PASS</v>
      </c>
      <c r="P61" s="7"/>
    </row>
    <row r="62" spans="1:16" x14ac:dyDescent="0.2">
      <c r="A62" s="11">
        <f>Calc!A55</f>
        <v>46054</v>
      </c>
      <c r="B62" s="7">
        <f>(Calc!B55*Weights!$B$3+Calc!C55*Weights!$C$3+Calc!H55*Weights!$H$3)/$B$4</f>
        <v>1.6232750898832856E-2</v>
      </c>
      <c r="C62" s="7">
        <f>Calc!D55</f>
        <v>5.3854713477781146E-2</v>
      </c>
      <c r="D62" s="7">
        <f>(Calc!E55*Weights!$E$3+Calc!F55*Weights!$F$3)/$D$4</f>
        <v>1.5781868823382617E-2</v>
      </c>
      <c r="E62" s="7">
        <f>Calc!G55</f>
        <v>2.6521493895190762E-3</v>
      </c>
      <c r="F62" s="7">
        <f>Calc!H55</f>
        <v>1.6431704083315957E-2</v>
      </c>
      <c r="G62" s="7">
        <f>Calc!D55</f>
        <v>5.3854713477781146E-2</v>
      </c>
      <c r="H62" s="7">
        <f>Calc!E55</f>
        <v>1.601666683440861E-2</v>
      </c>
      <c r="I62" s="7">
        <f>Calc!G55</f>
        <v>2.6521493895190762E-3</v>
      </c>
      <c r="J62" s="7" cm="1">
        <f t="array" ref="J62">SUMPRODUCT($B$4:$E$4-$B$5:$E$5,F62:I62-Calc!J55)</f>
        <v>3.0325713423113082E-3</v>
      </c>
      <c r="K62" s="7" cm="1">
        <f t="array" ref="K62">SUMPRODUCT($B$5:$E$5,B62:E62-F62:I62)</f>
        <v>-2.1329111510025799E-4</v>
      </c>
      <c r="L62" s="7" cm="1">
        <f t="array" ref="L62">SUMPRODUCT($B$4:$E$4-$B$5:$E$5,B62:E62-F62:I62)</f>
        <v>2.8050736345320443E-5</v>
      </c>
      <c r="M62" s="7">
        <f t="shared" si="0"/>
        <v>2.8473309635563709E-3</v>
      </c>
      <c r="N62" s="7">
        <f>Calc!K55</f>
        <v>2.8473309635563687E-3</v>
      </c>
      <c r="O62" s="7" t="str">
        <f t="shared" si="1"/>
        <v>PASS</v>
      </c>
      <c r="P62" s="7"/>
    </row>
    <row r="63" spans="1:16" x14ac:dyDescent="0.2">
      <c r="A63" s="11">
        <f>Calc!A56</f>
        <v>46082</v>
      </c>
      <c r="B63" s="7">
        <f>(Calc!B56*Weights!$B$3+Calc!C56*Weights!$C$3+Calc!H56*Weights!$H$3)/$B$4</f>
        <v>-6.0900611923368153E-2</v>
      </c>
      <c r="C63" s="7">
        <f>Calc!D56</f>
        <v>-6.3139404630932594E-2</v>
      </c>
      <c r="D63" s="7">
        <f>(Calc!E56*Weights!$E$3+Calc!F56*Weights!$F$3)/$D$4</f>
        <v>-1.8710658881083957E-2</v>
      </c>
      <c r="E63" s="7">
        <f>Calc!G56</f>
        <v>2.7614503791131284E-3</v>
      </c>
      <c r="F63" s="7">
        <f>Calc!H56</f>
        <v>-6.2196298090960833E-2</v>
      </c>
      <c r="G63" s="7">
        <f>Calc!D56</f>
        <v>-6.3139404630932594E-2</v>
      </c>
      <c r="H63" s="7">
        <f>Calc!E56</f>
        <v>-1.7373513704697974E-2</v>
      </c>
      <c r="I63" s="7">
        <f>Calc!G56</f>
        <v>2.7614503791131284E-3</v>
      </c>
      <c r="J63" s="7" cm="1">
        <f t="array" ref="J63">SUMPRODUCT($B$4:$E$4-$B$5:$E$5,F63:I63-Calc!J56)</f>
        <v>5.3947159888196629E-3</v>
      </c>
      <c r="K63" s="7" cm="1">
        <f t="array" ref="K63">SUMPRODUCT($B$5:$E$5,B63:E63-F63:I63)</f>
        <v>2.4255363000121456E-4</v>
      </c>
      <c r="L63" s="7" cm="1">
        <f t="array" ref="L63">SUMPRODUCT($B$4:$E$4-$B$5:$E$5,B63:E63-F63:I63)</f>
        <v>-3.2599449233783502E-4</v>
      </c>
      <c r="M63" s="7">
        <f t="shared" si="0"/>
        <v>5.3112751264830426E-3</v>
      </c>
      <c r="N63" s="7">
        <f>Calc!K56</f>
        <v>5.3112751264830435E-3</v>
      </c>
      <c r="O63" s="7" t="str">
        <f t="shared" si="1"/>
        <v>PASS</v>
      </c>
      <c r="P63" s="7"/>
    </row>
    <row r="64" spans="1:16" x14ac:dyDescent="0.2">
      <c r="A64" s="11">
        <f>Calc!A57</f>
        <v>46113</v>
      </c>
      <c r="B64" s="7">
        <f>(Calc!B57*Weights!$B$3+Calc!C57*Weights!$C$3+Calc!H57*Weights!$H$3)/$B$4</f>
        <v>9.3947055750574021E-2</v>
      </c>
      <c r="C64" s="7">
        <f>Calc!D57</f>
        <v>8.6020420264821817E-2</v>
      </c>
      <c r="D64" s="7">
        <f>(Calc!E57*Weights!$E$3+Calc!F57*Weights!$F$3)/$D$4</f>
        <v>1.7781866871665239E-3</v>
      </c>
      <c r="E64" s="7">
        <f>Calc!G57</f>
        <v>2.9437150755311503E-3</v>
      </c>
      <c r="F64" s="7">
        <f>Calc!H57</f>
        <v>9.3117276338342325E-2</v>
      </c>
      <c r="G64" s="7">
        <f>Calc!D57</f>
        <v>8.6020420264821817E-2</v>
      </c>
      <c r="H64" s="7">
        <f>Calc!E57</f>
        <v>1.4990973262967167E-3</v>
      </c>
      <c r="I64" s="7">
        <f>Calc!G57</f>
        <v>2.9437150755311503E-3</v>
      </c>
      <c r="J64" s="7" cm="1">
        <f t="array" ref="J64">SUMPRODUCT($B$4:$E$4-$B$5:$E$5,F64:I64-Calc!J57)</f>
        <v>-9.7992726210948851E-3</v>
      </c>
      <c r="K64" s="7" cm="1">
        <f t="array" ref="K64">SUMPRODUCT($B$5:$E$5,B64:E64-F64:I64)</f>
        <v>6.0950339168694043E-4</v>
      </c>
      <c r="L64" s="7" cm="1">
        <f t="array" ref="L64">SUMPRODUCT($B$4:$E$4-$B$5:$E$5,B64:E64-F64:I64)</f>
        <v>-1.5200141440284878E-4</v>
      </c>
      <c r="M64" s="7">
        <f t="shared" si="0"/>
        <v>-9.3417706438107938E-3</v>
      </c>
      <c r="N64" s="7">
        <f>Calc!K57</f>
        <v>-9.3417706438108025E-3</v>
      </c>
      <c r="O64" s="7" t="str">
        <f t="shared" si="1"/>
        <v>PASS</v>
      </c>
      <c r="P64" s="7"/>
    </row>
    <row r="65" spans="1:16" x14ac:dyDescent="0.2">
      <c r="A65" s="11">
        <f>Calc!A58</f>
        <v>46143</v>
      </c>
      <c r="B65" s="7">
        <f>(Calc!B58*Weights!$B$3+Calc!C58*Weights!$C$3+Calc!H58*Weights!$H$3)/$B$4</f>
        <v>4.5943270483596609E-2</v>
      </c>
      <c r="C65" s="7">
        <f>Calc!D58</f>
        <v>-6.5401732430255821E-3</v>
      </c>
      <c r="D65" s="7">
        <f>(Calc!E58*Weights!$E$3+Calc!F58*Weights!$F$3)/$D$4</f>
        <v>4.5708909931957047E-3</v>
      </c>
      <c r="E65" s="7">
        <f>Calc!G58</f>
        <v>2.8892771587134547E-3</v>
      </c>
      <c r="F65" s="7">
        <f>Calc!H58</f>
        <v>4.5767218466552961E-2</v>
      </c>
      <c r="G65" s="7">
        <f>Calc!D58</f>
        <v>-6.5401732430255821E-3</v>
      </c>
      <c r="H65" s="7">
        <f>Calc!E58</f>
        <v>2.7572109511138088E-3</v>
      </c>
      <c r="I65" s="7">
        <f>Calc!G58</f>
        <v>2.8892771587134547E-3</v>
      </c>
      <c r="J65" s="7" cm="1">
        <f t="array" ref="J65">SUMPRODUCT($B$4:$E$4-$B$5:$E$5,F65:I65-Calc!J58)</f>
        <v>-9.5251366121217856E-3</v>
      </c>
      <c r="K65" s="7" cm="1">
        <f t="array" ref="K65">SUMPRODUCT($B$5:$E$5,B65:E65-F65:I65)</f>
        <v>8.3110322705894676E-4</v>
      </c>
      <c r="L65" s="7" cm="1">
        <f t="array" ref="L65">SUMPRODUCT($B$4:$E$4-$B$5:$E$5,B65:E65-F65:I65)</f>
        <v>5.5473598695365245E-5</v>
      </c>
      <c r="M65" s="7">
        <f t="shared" si="0"/>
        <v>-8.6385597863674751E-3</v>
      </c>
      <c r="N65" s="7">
        <f>Calc!K58</f>
        <v>-8.6385597863674717E-3</v>
      </c>
      <c r="O65" s="7" t="str">
        <f t="shared" si="1"/>
        <v>PASS</v>
      </c>
      <c r="P65" s="7"/>
    </row>
    <row r="66" spans="1:16" x14ac:dyDescent="0.2">
      <c r="A66" s="11">
        <f>Calc!A59</f>
        <v>46174</v>
      </c>
      <c r="B66" s="7">
        <f>(Calc!B59*Weights!$B$3+Calc!C59*Weights!$C$3+Calc!H59*Weights!$H$3)/$B$4</f>
        <v>-3.2155510943814719E-3</v>
      </c>
      <c r="C66" s="7">
        <f>Calc!D59</f>
        <v>1.6509259855657543E-2</v>
      </c>
      <c r="D66" s="7">
        <f>(Calc!E59*Weights!$E$3+Calc!F59*Weights!$F$3)/$D$4</f>
        <v>3.2733389966672632E-3</v>
      </c>
      <c r="E66" s="7">
        <f>Calc!G59</f>
        <v>2.7350467160565106E-3</v>
      </c>
      <c r="F66" s="7">
        <f>Calc!H59</f>
        <v>-3.813650413824754E-3</v>
      </c>
      <c r="G66" s="7">
        <f>Calc!D59</f>
        <v>1.6509259855657543E-2</v>
      </c>
      <c r="H66" s="7">
        <f>Calc!E59</f>
        <v>2.6908795813953557E-3</v>
      </c>
      <c r="I66" s="7">
        <f>Calc!G59</f>
        <v>2.7350467160565106E-3</v>
      </c>
      <c r="J66" s="7" cm="1">
        <f t="array" ref="J66">SUMPRODUCT($B$4:$E$4-$B$5:$E$5,F66:I66-Calc!J59)</f>
        <v>2.6849523832032981E-3</v>
      </c>
      <c r="K66" s="7" cm="1">
        <f t="array" ref="K66">SUMPRODUCT($B$5:$E$5,B66:E66-F66:I66)</f>
        <v>5.9184335777473225E-4</v>
      </c>
      <c r="L66" s="7" cm="1">
        <f t="array" ref="L66">SUMPRODUCT($B$4:$E$4-$B$5:$E$5,B66:E66-F66:I66)</f>
        <v>-9.0496893125061045E-5</v>
      </c>
      <c r="M66" s="7">
        <f t="shared" si="0"/>
        <v>3.1862988478529694E-3</v>
      </c>
      <c r="N66" s="7">
        <f>Calc!K59</f>
        <v>3.1862988478529694E-3</v>
      </c>
      <c r="O66" s="7" t="str">
        <f t="shared" si="1"/>
        <v>PASS</v>
      </c>
      <c r="P66" s="7"/>
    </row>
    <row r="67" spans="1:16" x14ac:dyDescent="0.2">
      <c r="A67" s="11">
        <f>Calc!A60</f>
        <v>46204</v>
      </c>
      <c r="B67" s="7">
        <f>(Calc!B60*Weights!$B$3+Calc!C60*Weights!$C$3+Calc!H60*Weights!$H$3)/$B$4</f>
        <v>-7.0387703341678312E-3</v>
      </c>
      <c r="C67" s="7">
        <f>Calc!D60</f>
        <v>2.613292124323241E-2</v>
      </c>
      <c r="D67" s="7">
        <f>(Calc!E60*Weights!$E$3+Calc!F60*Weights!$F$3)/$D$4</f>
        <v>-1.2315844713343424E-2</v>
      </c>
      <c r="E67" s="7">
        <f>Calc!G60</f>
        <v>3.3536933439888283E-3</v>
      </c>
      <c r="F67" s="7">
        <f>Calc!H60</f>
        <v>-6.9448681702202197E-3</v>
      </c>
      <c r="G67" s="7">
        <f>Calc!D60</f>
        <v>2.613292124323241E-2</v>
      </c>
      <c r="H67" s="7">
        <f>Calc!E60</f>
        <v>-1.2792848692725678E-2</v>
      </c>
      <c r="I67" s="7">
        <f>Calc!G60</f>
        <v>3.3536933439888283E-3</v>
      </c>
      <c r="J67" s="7" cm="1">
        <f t="array" ref="J67">SUMPRODUCT($B$4:$E$4-$B$5:$E$5,F67:I67-Calc!J60)</f>
        <v>3.5303079909304431E-3</v>
      </c>
      <c r="K67" s="7" cm="1">
        <f t="array" ref="K67">SUMPRODUCT($B$5:$E$5,B67:E67-F67:I67)</f>
        <v>1.3446029338433485E-4</v>
      </c>
      <c r="L67" s="7" cm="1">
        <f t="array" ref="L67">SUMPRODUCT($B$4:$E$4-$B$5:$E$5,B67:E67-F67:I67)</f>
        <v>4.2630631758634965E-5</v>
      </c>
      <c r="M67" s="7">
        <f t="shared" si="0"/>
        <v>3.7073989160734131E-3</v>
      </c>
      <c r="N67" s="7">
        <f>Calc!K60</f>
        <v>3.7073989160734139E-3</v>
      </c>
      <c r="O67" s="7" t="str">
        <f t="shared" si="1"/>
        <v>PASS</v>
      </c>
      <c r="P67" s="7"/>
    </row>
    <row r="68" spans="1:16" x14ac:dyDescent="0.2">
      <c r="A68" s="11">
        <f>Calc!A61</f>
        <v>46235</v>
      </c>
      <c r="B68" s="7">
        <f>(Calc!B61*Weights!$B$3+Calc!C61*Weights!$C$3+Calc!H61*Weights!$H$3)/$B$4</f>
        <v>2.8974687666988574E-2</v>
      </c>
      <c r="C68" s="7">
        <f>Calc!D61</f>
        <v>-2.5366280154057508E-2</v>
      </c>
      <c r="D68" s="7">
        <f>(Calc!E61*Weights!$E$3+Calc!F61*Weights!$F$3)/$D$4</f>
        <v>1.7200322679429654E-3</v>
      </c>
      <c r="E68" s="7">
        <f>Calc!G61</f>
        <v>2.8167083466157372E-3</v>
      </c>
      <c r="F68" s="7">
        <f>Calc!H61</f>
        <v>3.0091084185367434E-2</v>
      </c>
      <c r="G68" s="7">
        <f>Calc!D61</f>
        <v>-2.5366280154057508E-2</v>
      </c>
      <c r="H68" s="7">
        <f>Calc!E61</f>
        <v>3.6398800968115985E-3</v>
      </c>
      <c r="I68" s="7">
        <f>Calc!G61</f>
        <v>2.8167083466157372E-3</v>
      </c>
      <c r="J68" s="7" cm="1">
        <f t="array" ref="J68">SUMPRODUCT($B$4:$E$4-$B$5:$E$5,F68:I68-Calc!J61)</f>
        <v>-8.2320154303078697E-3</v>
      </c>
      <c r="K68" s="7" cm="1">
        <f t="array" ref="K68">SUMPRODUCT($B$5:$E$5,B68:E68-F68:I68)</f>
        <v>-1.4377770425747689E-3</v>
      </c>
      <c r="L68" s="7" cm="1">
        <f t="array" ref="L68">SUMPRODUCT($B$4:$E$4-$B$5:$E$5,B68:E68-F68:I68)</f>
        <v>1.2728691223234029E-4</v>
      </c>
      <c r="M68" s="7">
        <f t="shared" si="0"/>
        <v>-9.5425055606502985E-3</v>
      </c>
      <c r="N68" s="7">
        <f>Calc!K61</f>
        <v>-9.5425055606502968E-3</v>
      </c>
      <c r="O68" s="7" t="str">
        <f t="shared" si="1"/>
        <v>PASS</v>
      </c>
      <c r="P68" s="7"/>
    </row>
    <row r="69" spans="1:16" x14ac:dyDescent="0.2">
      <c r="A69" s="11">
        <f>Calc!A62</f>
        <v>46266</v>
      </c>
      <c r="B69" s="7">
        <f>(Calc!B62*Weights!$B$3+Calc!C62*Weights!$C$3+Calc!H62*Weights!$H$3)/$B$4</f>
        <v>-1.0277906421759046E-2</v>
      </c>
      <c r="C69" s="7">
        <f>Calc!D62</f>
        <v>-5.3140016436463378E-2</v>
      </c>
      <c r="D69" s="7">
        <f>(Calc!E62*Weights!$E$3+Calc!F62*Weights!$F$3)/$D$4</f>
        <v>-2.0270380152398463E-2</v>
      </c>
      <c r="E69" s="7">
        <f>Calc!G62</f>
        <v>2.52645009982988E-3</v>
      </c>
      <c r="F69" s="7">
        <f>Calc!H62</f>
        <v>-1.0544607480073798E-2</v>
      </c>
      <c r="G69" s="7">
        <f>Calc!D62</f>
        <v>-5.3140016436463378E-2</v>
      </c>
      <c r="H69" s="7">
        <f>Calc!E62</f>
        <v>-2.4407175970956763E-2</v>
      </c>
      <c r="I69" s="7">
        <f>Calc!G62</f>
        <v>2.52645009982988E-3</v>
      </c>
      <c r="J69" s="7" cm="1">
        <f t="array" ref="J69">SUMPRODUCT($B$4:$E$4-$B$5:$E$5,F69:I69-Calc!J62)</f>
        <v>-4.2991164411879217E-3</v>
      </c>
      <c r="K69" s="7" cm="1">
        <f t="array" ref="K69">SUMPRODUCT($B$5:$E$5,B69:E69-F69:I69)</f>
        <v>1.814738962412171E-3</v>
      </c>
      <c r="L69" s="7" cm="1">
        <f t="array" ref="L69">SUMPRODUCT($B$4:$E$4-$B$5:$E$5,B69:E69-F69:I69)</f>
        <v>1.5349957926496439E-4</v>
      </c>
      <c r="M69" s="7">
        <f t="shared" si="0"/>
        <v>-2.3308778995107865E-3</v>
      </c>
      <c r="N69" s="7">
        <f>Calc!K62</f>
        <v>-2.3308778995107839E-3</v>
      </c>
      <c r="O69" s="7" t="str">
        <f t="shared" si="1"/>
        <v>PASS</v>
      </c>
      <c r="P69" s="7"/>
    </row>
    <row r="70" spans="1:1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</sheetData>
  <pageMargins left="0.7" right="0.7" top="0.75" bottom="0.75" header="0.3" footer="0.3"/>
  <ignoredErrors>
    <ignoredError sqref="K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0BDF-E3CF-CA43-A009-3E4A9D4E4ECD}">
  <sheetPr codeName="Sheet6"/>
  <dimension ref="A1:C19"/>
  <sheetViews>
    <sheetView workbookViewId="0">
      <selection activeCell="C5" sqref="C5"/>
    </sheetView>
  </sheetViews>
  <sheetFormatPr baseColWidth="10" defaultRowHeight="15" x14ac:dyDescent="0.2"/>
  <cols>
    <col min="1" max="1" width="30" customWidth="1"/>
    <col min="2" max="2" width="11.83203125" customWidth="1"/>
    <col min="3" max="3" width="13.5" customWidth="1"/>
  </cols>
  <sheetData>
    <row r="1" spans="1:3" x14ac:dyDescent="0.2">
      <c r="A1" s="8" t="s">
        <v>62</v>
      </c>
      <c r="B1" s="7"/>
      <c r="C1" s="7"/>
    </row>
    <row r="2" spans="1:3" x14ac:dyDescent="0.2">
      <c r="A2" s="8" t="s">
        <v>63</v>
      </c>
      <c r="B2" s="9">
        <v>46266</v>
      </c>
      <c r="C2" s="7"/>
    </row>
    <row r="3" spans="1:3" x14ac:dyDescent="0.2">
      <c r="A3" s="8" t="s">
        <v>64</v>
      </c>
      <c r="B3" s="7" t="str">
        <f>IF(COUNTIF(B6:B17,"PASS")=ROWS(B6:B17),"PASS","FAIL")</f>
        <v>PASS</v>
      </c>
      <c r="C3" s="7"/>
    </row>
    <row r="4" spans="1:3" x14ac:dyDescent="0.2">
      <c r="A4" s="7"/>
      <c r="B4" s="7"/>
      <c r="C4" s="7"/>
    </row>
    <row r="5" spans="1:3" x14ac:dyDescent="0.2">
      <c r="A5" s="8" t="s">
        <v>65</v>
      </c>
      <c r="B5" s="8" t="s">
        <v>66</v>
      </c>
      <c r="C5" s="8"/>
    </row>
    <row r="6" spans="1:3" x14ac:dyDescent="0.2">
      <c r="A6" s="7" t="s">
        <v>67</v>
      </c>
      <c r="B6" s="7" t="str">
        <f>IF(ABS(Weights!I3-1)&lt;0.0001,"PASS","FAIL")</f>
        <v>PASS</v>
      </c>
      <c r="C6" s="7"/>
    </row>
    <row r="7" spans="1:3" x14ac:dyDescent="0.2">
      <c r="A7" s="7" t="s">
        <v>68</v>
      </c>
      <c r="B7" s="7" t="str">
        <f>IF(ABS(Weights!I4-1)&lt;0.0001,"PASS","FAIL")</f>
        <v>PASS</v>
      </c>
      <c r="C7" s="7"/>
    </row>
    <row r="8" spans="1:3" x14ac:dyDescent="0.2">
      <c r="A8" s="7" t="s">
        <v>69</v>
      </c>
      <c r="B8" s="7" t="str">
        <f>IF(MIN(Weights!B3:H4)&gt;=0,"PASS","FAIL")</f>
        <v>PASS</v>
      </c>
      <c r="C8" s="7"/>
    </row>
    <row r="9" spans="1:3" x14ac:dyDescent="0.2">
      <c r="A9" s="7" t="s">
        <v>70</v>
      </c>
      <c r="B9" s="7" t="str">
        <f>IF(AND(Metrics!B3&gt;=0,Metrics!B3&lt;=0.15),"PASS","FAIL")</f>
        <v>PASS</v>
      </c>
      <c r="C9" s="7"/>
    </row>
    <row r="10" spans="1:3" x14ac:dyDescent="0.2">
      <c r="A10" s="7" t="s">
        <v>71</v>
      </c>
      <c r="B10" s="7" t="str">
        <f>IF(COUNT(AdjPrice!B2:H62)=ROWS(AdjPrice!B2:H62)*COLUMNS(AdjPrice!B2:H62),"PASS","FAIL")</f>
        <v>PASS</v>
      </c>
      <c r="C10" s="7"/>
    </row>
    <row r="11" spans="1:3" x14ac:dyDescent="0.2">
      <c r="A11" s="7" t="s">
        <v>72</v>
      </c>
      <c r="B11" s="7" t="str" cm="1">
        <f t="array" ref="B11">IF(SUMPRODUCT(--(AdjPrice!A3:A62&lt;=AdjPrice!A2:A61))=0,"PASS","FAIL")</f>
        <v>PASS</v>
      </c>
      <c r="C11" s="7"/>
    </row>
    <row r="12" spans="1:3" x14ac:dyDescent="0.2">
      <c r="A12" s="7" t="s">
        <v>73</v>
      </c>
      <c r="B12" s="7" t="str" cm="1">
        <f t="array" ref="B12">IF(SUMPRODUCT(--(AdjPrice!A3:A62-AdjPrice!A2:A61&gt;35))=0,"PASS","FAIL")</f>
        <v>PASS</v>
      </c>
      <c r="C12" s="7"/>
    </row>
    <row r="13" spans="1:3" x14ac:dyDescent="0.2">
      <c r="A13" s="7" t="s">
        <v>74</v>
      </c>
      <c r="B13" s="7" t="str">
        <f>IF(COUNTIF(Calc!B3:H62,"&gt;0.25")+COUNTIF(Calc!B3:H62,"&lt;-0.25")=0,"PASS","REVIEW")</f>
        <v>PASS</v>
      </c>
      <c r="C13" s="7"/>
    </row>
    <row r="14" spans="1:3" x14ac:dyDescent="0.2">
      <c r="A14" s="7" t="s">
        <v>75</v>
      </c>
      <c r="B14" s="7" t="str">
        <f>IF(AND(YEAR(AdjPrice!A62)=YEAR(B2),MONTH(AdjPrice!A62)=MONTH(B2)),"PASS","FAIL")</f>
        <v>PASS</v>
      </c>
      <c r="C14" s="7"/>
    </row>
    <row r="15" spans="1:3" x14ac:dyDescent="0.2">
      <c r="A15" s="7" t="s">
        <v>76</v>
      </c>
      <c r="B15" s="7" t="str" cm="1">
        <f t="array" ref="B15">IF(SUMPRODUCT(--ISERROR(Calc!B3:M62))=0,"PASS","FAIL")</f>
        <v>PASS</v>
      </c>
      <c r="C15" s="7"/>
    </row>
    <row r="16" spans="1:3" x14ac:dyDescent="0.2">
      <c r="A16" s="7" t="s">
        <v>77</v>
      </c>
      <c r="B16" s="7" t="str" cm="1">
        <f t="array" ref="B16">IF(AND(ABS(Calc!L62/Calc!L2-EXP(SUMPRODUCT(LN(1+Calc!I3:I62))))&lt;0.000001,ABS(Calc!M62/Calc!M2-EXP(SUMPRODUCT(LN(1+Calc!J3:J62))))&lt;0.000001),"PASS","FAIL")</f>
        <v>PASS</v>
      </c>
      <c r="C16" s="7"/>
    </row>
    <row r="17" spans="1:3" x14ac:dyDescent="0.2">
      <c r="A17" s="7" t="s">
        <v>78</v>
      </c>
      <c r="B17" s="7" t="str">
        <f>IF(AND(Attribution!Q2="PASS",ABS(Attribution!K4-Attribution!L4)&lt;0.000001),"PASS","FAIL")</f>
        <v>PASS</v>
      </c>
      <c r="C17" s="7"/>
    </row>
    <row r="18" spans="1:3" x14ac:dyDescent="0.2">
      <c r="A18" s="7"/>
      <c r="B18" s="7"/>
      <c r="C18" s="7"/>
    </row>
    <row r="19" spans="1:3" x14ac:dyDescent="0.2">
      <c r="A19" s="7"/>
      <c r="B19" s="7"/>
      <c r="C19" s="7"/>
    </row>
  </sheetData>
  <phoneticPr fontId="2" type="noConversion"/>
  <conditionalFormatting sqref="B3 B6:B17 B20">
    <cfRule type="containsText" dxfId="6" priority="1" operator="containsText" text="REVIEW">
      <formula>NOT(ISERROR(SEARCH("REVIEW",B3)))</formula>
    </cfRule>
    <cfRule type="containsText" dxfId="5" priority="2" operator="containsText" text="FAIL">
      <formula>NOT(ISERROR(SEARCH("FAIL",B3)))</formula>
    </cfRule>
  </conditionalFormatting>
  <conditionalFormatting sqref="B3 B6:B17">
    <cfRule type="containsText" dxfId="4" priority="5" operator="containsText" text="PASS">
      <formula>NOT(ISERROR(SEARCH("PASS",B3)))</formula>
    </cfRule>
  </conditionalFormatting>
  <conditionalFormatting sqref="K5">
    <cfRule type="containsText" dxfId="3" priority="3" operator="containsText" text="REVIEW">
      <formula>NOT(ISERROR(SEARCH("REVIEW",K5)))</formula>
    </cfRule>
    <cfRule type="containsText" dxfId="2" priority="4" operator="containsText" text="FAIL">
      <formula>NOT(ISERROR(SEARCH("FAIL",K5)))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B3016-3DD1-4D40-ACB8-D6ED40746A43}">
  <sheetPr codeName="Sheet7"/>
  <dimension ref="A1:R47"/>
  <sheetViews>
    <sheetView showGridLines="0" tabSelected="1" workbookViewId="0">
      <selection activeCell="L5" sqref="L5"/>
    </sheetView>
  </sheetViews>
  <sheetFormatPr baseColWidth="10" defaultRowHeight="15" x14ac:dyDescent="0.2"/>
  <cols>
    <col min="1" max="1" width="15.6640625" customWidth="1"/>
    <col min="2" max="14" width="12.83203125" customWidth="1"/>
  </cols>
  <sheetData>
    <row r="1" spans="1:13" ht="20" x14ac:dyDescent="0.2">
      <c r="A1" s="6" t="s">
        <v>81</v>
      </c>
      <c r="B1" s="7"/>
      <c r="C1" s="7"/>
      <c r="D1" s="7"/>
      <c r="E1" s="7"/>
      <c r="F1" s="7"/>
      <c r="G1" s="7"/>
      <c r="H1" s="7"/>
      <c r="I1" s="7"/>
      <c r="J1" s="7"/>
      <c r="K1" s="7"/>
      <c r="L1" s="7" t="s">
        <v>82</v>
      </c>
      <c r="M1" s="7" t="str">
        <f>Checks!B3</f>
        <v>PASS</v>
      </c>
    </row>
    <row r="2" spans="1:13" x14ac:dyDescent="0.2">
      <c r="A2" s="7" t="str">
        <f>"Data to "&amp;TEXT(Calc!A62,"mmmm yyyy")&amp;" | Benchmark: 60% VT / 40% BND | Total return, monthly rebalanced"</f>
        <v>Data to September 2026 | Benchmark: 60% VT / 40% BND | Total return, monthly rebalanced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2">
      <c r="A4" s="8"/>
      <c r="B4" s="8" t="s">
        <v>19</v>
      </c>
      <c r="C4" s="8"/>
      <c r="D4" s="8"/>
      <c r="E4" s="8" t="s">
        <v>20</v>
      </c>
      <c r="F4" s="8"/>
      <c r="G4" s="8"/>
      <c r="H4" s="8"/>
      <c r="I4" s="8"/>
      <c r="J4" s="8" t="s">
        <v>55</v>
      </c>
      <c r="K4" s="8" t="s">
        <v>56</v>
      </c>
      <c r="L4" s="8" t="s">
        <v>57</v>
      </c>
      <c r="M4" s="7"/>
    </row>
    <row r="5" spans="1:13" x14ac:dyDescent="0.2">
      <c r="A5" s="8"/>
      <c r="B5" s="7" t="s">
        <v>42</v>
      </c>
      <c r="C5" s="7" t="s">
        <v>43</v>
      </c>
      <c r="D5" s="7" t="s">
        <v>44</v>
      </c>
      <c r="E5" s="7" t="s">
        <v>42</v>
      </c>
      <c r="F5" s="7" t="s">
        <v>43</v>
      </c>
      <c r="G5" s="7" t="s">
        <v>44</v>
      </c>
      <c r="H5" s="7"/>
      <c r="I5" s="7" t="s">
        <v>79</v>
      </c>
      <c r="J5" s="7">
        <f>Attribution!H3</f>
        <v>-2.8218614889229002E-2</v>
      </c>
      <c r="K5" s="7">
        <f>Attribution!I3</f>
        <v>2.4174938292742245E-3</v>
      </c>
      <c r="L5" s="7">
        <f>Attribution!J3</f>
        <v>-2.9171787169173966E-4</v>
      </c>
      <c r="M5" s="7"/>
    </row>
    <row r="6" spans="1:13" x14ac:dyDescent="0.2">
      <c r="A6" s="8" t="s">
        <v>83</v>
      </c>
      <c r="B6" s="7">
        <f>Metrics!B9</f>
        <v>6.5347824872622029E-2</v>
      </c>
      <c r="C6" s="7">
        <f>Metrics!C9</f>
        <v>0.11680938988015499</v>
      </c>
      <c r="D6" s="7">
        <f>Metrics!D9</f>
        <v>4.8684182980519353E-2</v>
      </c>
      <c r="E6" s="7">
        <f>Metrics!E9</f>
        <v>9.2320088019525626E-2</v>
      </c>
      <c r="F6" s="7">
        <f>Metrics!F9</f>
        <v>0.14399516713916238</v>
      </c>
      <c r="G6" s="7">
        <f>Metrics!G9</f>
        <v>6.6245991772325263E-2</v>
      </c>
      <c r="H6" s="7"/>
      <c r="I6" s="7" t="s">
        <v>80</v>
      </c>
      <c r="J6" s="7">
        <f>Attribution!H4</f>
        <v>-9.5224564726671582E-2</v>
      </c>
      <c r="K6" s="7">
        <f>Attribution!I4</f>
        <v>6.7370521990447723E-3</v>
      </c>
      <c r="L6" s="7">
        <f>Attribution!J4</f>
        <v>-7.413468044744141E-4</v>
      </c>
      <c r="M6" s="7"/>
    </row>
    <row r="7" spans="1:13" x14ac:dyDescent="0.2">
      <c r="A7" s="8" t="s">
        <v>36</v>
      </c>
      <c r="B7" s="7">
        <f>Metrics!B10</f>
        <v>7.3806488268840245E-2</v>
      </c>
      <c r="C7" s="7">
        <f>Metrics!C10</f>
        <v>7.7418425769007981E-2</v>
      </c>
      <c r="D7" s="7">
        <f>Metrics!D10</f>
        <v>9.8145804846844528E-2</v>
      </c>
      <c r="E7" s="7">
        <f>Metrics!E10</f>
        <v>8.6607724793461224E-2</v>
      </c>
      <c r="F7" s="7">
        <f>Metrics!F10</f>
        <v>8.542934764374123E-2</v>
      </c>
      <c r="G7" s="7">
        <f>Metrics!G10</f>
        <v>0.10946569629772615</v>
      </c>
      <c r="H7" s="7"/>
      <c r="I7" s="7"/>
      <c r="J7" s="7"/>
      <c r="K7" s="7"/>
      <c r="L7" s="7"/>
      <c r="M7" s="7"/>
    </row>
    <row r="8" spans="1:13" x14ac:dyDescent="0.2">
      <c r="A8" s="8" t="s">
        <v>37</v>
      </c>
      <c r="B8" s="7">
        <f>Metrics!B11</f>
        <v>0.4789257110278371</v>
      </c>
      <c r="C8" s="7">
        <f>Metrics!C11</f>
        <v>1.1213014087778879</v>
      </c>
      <c r="D8" s="7">
        <f>Metrics!D11</f>
        <v>0.19037169250051819</v>
      </c>
      <c r="E8" s="7">
        <f>Metrics!E11</f>
        <v>0.71956731536527696</v>
      </c>
      <c r="F8" s="7">
        <f>Metrics!F11</f>
        <v>1.3343794642392304</v>
      </c>
      <c r="G8" s="7">
        <f>Metrics!G11</f>
        <v>0.3311173545522697</v>
      </c>
      <c r="H8" s="7"/>
      <c r="I8" s="7"/>
      <c r="J8" s="7"/>
      <c r="K8" s="7"/>
      <c r="L8" s="7"/>
      <c r="M8" s="7"/>
    </row>
    <row r="9" spans="1:13" x14ac:dyDescent="0.2">
      <c r="A9" s="8" t="s">
        <v>39</v>
      </c>
      <c r="B9" s="7">
        <f>Metrics!B12</f>
        <v>-2.6972263146903597E-2</v>
      </c>
      <c r="C9" s="7">
        <f>Metrics!C12</f>
        <v>-2.7185777259007393E-2</v>
      </c>
      <c r="D9" s="7">
        <f>Metrics!D13</f>
        <v>1.6889130715170411E-2</v>
      </c>
      <c r="E9" s="7"/>
      <c r="F9" s="7"/>
      <c r="G9" s="7"/>
      <c r="H9" s="7"/>
      <c r="I9" s="7"/>
      <c r="J9" s="7"/>
      <c r="K9" s="7"/>
      <c r="L9" s="7"/>
      <c r="M9" s="7"/>
    </row>
    <row r="10" spans="1:13" x14ac:dyDescent="0.2">
      <c r="A10" s="8" t="s">
        <v>84</v>
      </c>
      <c r="B10" s="7"/>
      <c r="C10" s="7"/>
      <c r="D10" s="7">
        <f>Metrics!D15</f>
        <v>-0.19502199857377067</v>
      </c>
      <c r="E10" s="7"/>
      <c r="F10" s="7"/>
      <c r="G10" s="7">
        <f>Metrics!G15</f>
        <v>-0.21149155332255021</v>
      </c>
      <c r="H10" s="7"/>
      <c r="I10" s="7"/>
      <c r="J10" s="7"/>
      <c r="K10" s="7"/>
      <c r="L10" s="7"/>
      <c r="M10" s="7"/>
    </row>
    <row r="35" spans="10:18" x14ac:dyDescent="0.2">
      <c r="J35" s="2" t="s">
        <v>93</v>
      </c>
    </row>
    <row r="36" spans="10:18" x14ac:dyDescent="0.2">
      <c r="J36" s="2" t="s">
        <v>94</v>
      </c>
      <c r="K36" s="2"/>
      <c r="L36" s="2"/>
      <c r="M36" s="2"/>
      <c r="N36" s="2"/>
      <c r="O36" s="2"/>
      <c r="P36" s="2"/>
      <c r="Q36" s="2"/>
      <c r="R36" s="2"/>
    </row>
    <row r="37" spans="10:18" x14ac:dyDescent="0.2">
      <c r="J37" s="2"/>
      <c r="K37" s="2"/>
      <c r="L37" s="2"/>
      <c r="M37" s="2"/>
      <c r="N37" s="2"/>
      <c r="O37" s="2"/>
      <c r="P37" s="2"/>
      <c r="Q37" s="2"/>
      <c r="R37" s="2"/>
    </row>
    <row r="38" spans="10:18" x14ac:dyDescent="0.2">
      <c r="J38" s="2" t="s">
        <v>95</v>
      </c>
      <c r="K38" s="2"/>
      <c r="L38" s="2"/>
      <c r="M38" s="2"/>
      <c r="N38" s="2"/>
      <c r="O38" s="2"/>
      <c r="P38" s="2"/>
      <c r="Q38" s="2"/>
      <c r="R38" s="2"/>
    </row>
    <row r="39" spans="10:18" x14ac:dyDescent="0.2">
      <c r="J39" s="2" t="s">
        <v>96</v>
      </c>
      <c r="K39" s="2"/>
      <c r="L39" s="2"/>
      <c r="M39" s="2"/>
      <c r="N39" s="2"/>
      <c r="O39" s="2"/>
      <c r="P39" s="2"/>
      <c r="Q39" s="2"/>
      <c r="R39" s="2"/>
    </row>
    <row r="40" spans="10:18" x14ac:dyDescent="0.2">
      <c r="J40" s="2" t="s">
        <v>88</v>
      </c>
      <c r="K40" s="2"/>
      <c r="L40" s="2"/>
      <c r="M40" s="2"/>
      <c r="N40" s="2"/>
      <c r="O40" s="2"/>
      <c r="P40" s="2"/>
      <c r="Q40" s="2"/>
      <c r="R40" s="2"/>
    </row>
    <row r="41" spans="10:18" x14ac:dyDescent="0.2">
      <c r="J41" s="2" t="s">
        <v>91</v>
      </c>
      <c r="K41" s="2"/>
      <c r="L41" s="2"/>
      <c r="M41" s="2"/>
      <c r="N41" s="2"/>
      <c r="O41" s="2"/>
      <c r="P41" s="2"/>
      <c r="Q41" s="2"/>
      <c r="R41" s="2"/>
    </row>
    <row r="42" spans="10:18" x14ac:dyDescent="0.2">
      <c r="J42" s="2" t="s">
        <v>89</v>
      </c>
      <c r="K42" s="2"/>
      <c r="L42" s="2"/>
      <c r="M42" s="2"/>
      <c r="N42" s="2"/>
      <c r="O42" s="2"/>
      <c r="P42" s="2"/>
      <c r="Q42" s="2"/>
      <c r="R42" s="2"/>
    </row>
    <row r="43" spans="10:18" x14ac:dyDescent="0.2">
      <c r="J43" s="2"/>
      <c r="K43" s="2"/>
      <c r="L43" s="2"/>
      <c r="M43" s="2"/>
      <c r="N43" s="2"/>
      <c r="O43" s="2"/>
      <c r="P43" s="2"/>
      <c r="Q43" s="2"/>
      <c r="R43" s="2"/>
    </row>
    <row r="44" spans="10:18" x14ac:dyDescent="0.2">
      <c r="J44" s="2" t="s">
        <v>92</v>
      </c>
      <c r="K44" s="2"/>
      <c r="L44" s="2"/>
      <c r="M44" s="2"/>
      <c r="N44" s="2"/>
      <c r="O44" s="2"/>
      <c r="P44" s="2"/>
      <c r="Q44" s="2"/>
      <c r="R44" s="2"/>
    </row>
    <row r="45" spans="10:18" x14ac:dyDescent="0.2">
      <c r="J45" s="2" t="s">
        <v>90</v>
      </c>
      <c r="K45" s="2"/>
      <c r="L45" s="2"/>
      <c r="M45" s="2"/>
      <c r="N45" s="2"/>
      <c r="O45" s="2"/>
      <c r="P45" s="2"/>
      <c r="Q45" s="2"/>
      <c r="R45" s="2"/>
    </row>
    <row r="46" spans="10:18" x14ac:dyDescent="0.2">
      <c r="J46" s="2"/>
      <c r="K46" s="2"/>
      <c r="L46" s="2"/>
      <c r="M46" s="2"/>
      <c r="N46" s="2"/>
      <c r="O46" s="2"/>
      <c r="P46" s="2"/>
      <c r="Q46" s="2"/>
      <c r="R46" s="2"/>
    </row>
    <row r="47" spans="10:18" x14ac:dyDescent="0.2">
      <c r="J47" s="2"/>
      <c r="K47" s="2"/>
      <c r="L47" s="2"/>
      <c r="M47" s="2"/>
      <c r="N47" s="2"/>
      <c r="O47" s="2"/>
      <c r="P47" s="2"/>
      <c r="Q47" s="2"/>
      <c r="R47" s="2"/>
    </row>
  </sheetData>
  <conditionalFormatting sqref="M1">
    <cfRule type="containsText" dxfId="1" priority="1" operator="containsText" text="FAIL">
      <formula>NOT(ISERROR(SEARCH("FAIL",M1)))</formula>
    </cfRule>
    <cfRule type="containsText" dxfId="0" priority="2" operator="containsText" text="PASS">
      <formula>NOT(ISERROR(SEARCH("PASS",M1)))</formula>
    </cfRule>
  </conditionalFormatting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AdjPrice</vt:lpstr>
      <vt:lpstr>Weights</vt:lpstr>
      <vt:lpstr>Calc</vt:lpstr>
      <vt:lpstr>Metrics</vt:lpstr>
      <vt:lpstr>Attribution</vt:lpstr>
      <vt:lpstr>Checks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Aiden Liu</cp:lastModifiedBy>
  <dcterms:created xsi:type="dcterms:W3CDTF">2026-10-20T10:11:45Z</dcterms:created>
  <dcterms:modified xsi:type="dcterms:W3CDTF">2026-10-21T11:49:03Z</dcterms:modified>
</cp:coreProperties>
</file>